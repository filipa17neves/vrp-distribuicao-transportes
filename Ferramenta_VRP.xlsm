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tomei\Desktop\Trabalho DITRA 1211539_1211249_1211044_1211231_1210911\"/>
    </mc:Choice>
  </mc:AlternateContent>
  <xr:revisionPtr revIDLastSave="0" documentId="13_ncr:1_{04D34CF5-ECA9-4014-85CA-D02292DF4D2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lha de Rosto" sheetId="18" r:id="rId1"/>
    <sheet name="Enunciado" sheetId="8" r:id="rId2"/>
    <sheet name="Moradas" sheetId="2" r:id="rId3"/>
    <sheet name="Distâncias AE e Nacional" sheetId="3" r:id="rId4"/>
    <sheet name="Distâncias Totais" sheetId="4" r:id="rId5"/>
    <sheet name="Portagens" sheetId="6" r:id="rId6"/>
    <sheet name="Duração" sheetId="5" r:id="rId7"/>
    <sheet name="Vizinho + próximo" sheetId="10" r:id="rId8"/>
    <sheet name="Rotas a)" sheetId="11" r:id="rId9"/>
    <sheet name="Rotas b)" sheetId="12" r:id="rId10"/>
    <sheet name="Rotas b) melhoradas" sheetId="13" r:id="rId11"/>
    <sheet name="Custos a) e b)" sheetId="17" r:id="rId12"/>
    <sheet name="Moradas alinea c" sheetId="14" r:id="rId13"/>
    <sheet name="Distâncias alinea c" sheetId="15" r:id="rId14"/>
    <sheet name="Rota c)" sheetId="16" r:id="rId1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9" i="16" l="1"/>
  <c r="B29" i="16"/>
  <c r="B55" i="16"/>
  <c r="B25" i="16"/>
  <c r="B53" i="16"/>
  <c r="B23" i="16"/>
  <c r="AE12" i="13"/>
  <c r="AD12" i="13"/>
  <c r="AC12" i="13"/>
  <c r="AB12" i="13"/>
  <c r="X12" i="13"/>
  <c r="W12" i="13"/>
  <c r="V12" i="13"/>
  <c r="U12" i="13"/>
  <c r="T12" i="13"/>
  <c r="S12" i="13"/>
  <c r="N12" i="13"/>
  <c r="M12" i="13"/>
  <c r="L12" i="13"/>
  <c r="K12" i="13"/>
  <c r="J12" i="13"/>
  <c r="F12" i="13"/>
  <c r="E12" i="13"/>
  <c r="D12" i="13"/>
  <c r="C12" i="13"/>
  <c r="AL12" i="11"/>
  <c r="AK12" i="11"/>
  <c r="AJ12" i="11"/>
  <c r="AI12" i="11"/>
  <c r="AD12" i="11"/>
  <c r="AC12" i="11"/>
  <c r="AB12" i="11"/>
  <c r="AA12" i="11"/>
  <c r="V12" i="11"/>
  <c r="U12" i="11"/>
  <c r="T12" i="11"/>
  <c r="S12" i="11"/>
  <c r="R12" i="11"/>
  <c r="M12" i="11"/>
  <c r="L12" i="11"/>
  <c r="K12" i="11"/>
  <c r="J12" i="11"/>
  <c r="E12" i="11"/>
  <c r="D12" i="11"/>
  <c r="C12" i="11"/>
  <c r="E10" i="16"/>
  <c r="E9" i="16"/>
  <c r="E5" i="16"/>
  <c r="I70" i="16"/>
  <c r="I69" i="16"/>
  <c r="I65" i="16"/>
  <c r="AD10" i="13" l="1"/>
  <c r="AC10" i="13"/>
  <c r="AB10" i="13"/>
  <c r="W10" i="13"/>
  <c r="V10" i="13"/>
  <c r="U10" i="13"/>
  <c r="T10" i="13"/>
  <c r="S10" i="13"/>
  <c r="M10" i="13"/>
  <c r="L10" i="13"/>
  <c r="K10" i="13"/>
  <c r="J10" i="13"/>
  <c r="E10" i="13"/>
  <c r="D10" i="13"/>
  <c r="C10" i="13"/>
  <c r="AK10" i="11"/>
  <c r="AJ10" i="11"/>
  <c r="AI10" i="11"/>
  <c r="AC10" i="11"/>
  <c r="AB10" i="11"/>
  <c r="AA10" i="11"/>
  <c r="U10" i="11"/>
  <c r="T10" i="11"/>
  <c r="S10" i="11"/>
  <c r="R10" i="11"/>
  <c r="L10" i="11"/>
  <c r="K10" i="11"/>
  <c r="J10" i="11"/>
  <c r="D10" i="11"/>
  <c r="C10" i="11"/>
  <c r="V12" i="10"/>
  <c r="V13" i="10"/>
  <c r="V14" i="10"/>
  <c r="V15" i="10"/>
  <c r="V16" i="10"/>
  <c r="V17" i="10"/>
  <c r="V7" i="10"/>
  <c r="V8" i="10"/>
  <c r="V9" i="10"/>
  <c r="V10" i="10"/>
  <c r="V11" i="10"/>
  <c r="V6" i="10"/>
  <c r="V4" i="10"/>
  <c r="V3" i="10"/>
  <c r="I8" i="8"/>
  <c r="I7" i="8"/>
  <c r="I6" i="8"/>
  <c r="I5" i="8"/>
  <c r="I4" i="8"/>
  <c r="H8" i="8"/>
  <c r="H7" i="8"/>
  <c r="H6" i="8"/>
  <c r="H5" i="8"/>
  <c r="H4" i="8"/>
  <c r="D20" i="16"/>
  <c r="E21" i="16" s="1"/>
  <c r="C21" i="16"/>
  <c r="E79" i="16"/>
  <c r="C79" i="16"/>
  <c r="M20" i="17"/>
  <c r="M9" i="17"/>
  <c r="B81" i="16" l="1"/>
  <c r="B83" i="16" s="1"/>
  <c r="C66" i="16"/>
  <c r="D66" i="16" s="1"/>
  <c r="E66" i="16" s="1"/>
  <c r="F66" i="16" s="1"/>
  <c r="G66" i="16" s="1"/>
  <c r="H66" i="16" s="1"/>
  <c r="C5" i="11"/>
  <c r="AE5" i="13"/>
  <c r="AD5" i="13"/>
  <c r="AC5" i="13"/>
  <c r="AB5" i="13"/>
  <c r="AB7" i="13" s="1"/>
  <c r="AC4" i="13" s="1"/>
  <c r="X5" i="13"/>
  <c r="W5" i="13"/>
  <c r="V5" i="13"/>
  <c r="U5" i="13"/>
  <c r="T5" i="13"/>
  <c r="S5" i="13"/>
  <c r="N5" i="13"/>
  <c r="M5" i="13"/>
  <c r="L5" i="13"/>
  <c r="K5" i="13"/>
  <c r="J5" i="13"/>
  <c r="J7" i="13" s="1"/>
  <c r="K4" i="13" s="1"/>
  <c r="F5" i="13"/>
  <c r="E5" i="13"/>
  <c r="D5" i="13"/>
  <c r="C5" i="13"/>
  <c r="C7" i="13" s="1"/>
  <c r="D4" i="13" s="1"/>
  <c r="D4" i="5"/>
  <c r="E4" i="5"/>
  <c r="E5" i="5"/>
  <c r="F4" i="5"/>
  <c r="F5" i="5"/>
  <c r="F6" i="5"/>
  <c r="G4" i="5"/>
  <c r="G5" i="5"/>
  <c r="G6" i="5"/>
  <c r="G7" i="5"/>
  <c r="H4" i="5"/>
  <c r="H5" i="5"/>
  <c r="H25" i="5" s="1"/>
  <c r="H6" i="5"/>
  <c r="H7" i="5"/>
  <c r="H8" i="5"/>
  <c r="I4" i="5"/>
  <c r="I5" i="5"/>
  <c r="I6" i="5"/>
  <c r="I7" i="5"/>
  <c r="I27" i="5" s="1"/>
  <c r="I8" i="5"/>
  <c r="I9" i="5"/>
  <c r="J4" i="5"/>
  <c r="J5" i="5"/>
  <c r="J6" i="5"/>
  <c r="J7" i="5"/>
  <c r="J27" i="5" s="1"/>
  <c r="J8" i="5"/>
  <c r="J9" i="5"/>
  <c r="J10" i="5"/>
  <c r="K4" i="5"/>
  <c r="K5" i="5"/>
  <c r="K6" i="5"/>
  <c r="K7" i="5"/>
  <c r="K27" i="5" s="1"/>
  <c r="K8" i="5"/>
  <c r="K9" i="5"/>
  <c r="K10" i="5"/>
  <c r="K11" i="5"/>
  <c r="K31" i="5" s="1"/>
  <c r="L4" i="5"/>
  <c r="L5" i="5"/>
  <c r="L6" i="5"/>
  <c r="L7" i="5"/>
  <c r="L8" i="5"/>
  <c r="L9" i="5"/>
  <c r="L10" i="5"/>
  <c r="L11" i="5"/>
  <c r="L12" i="5"/>
  <c r="M4" i="5"/>
  <c r="M5" i="5"/>
  <c r="M6" i="5"/>
  <c r="M7" i="5"/>
  <c r="M8" i="5"/>
  <c r="M9" i="5"/>
  <c r="M10" i="5"/>
  <c r="M11" i="5"/>
  <c r="M12" i="5"/>
  <c r="M13" i="5"/>
  <c r="N4" i="5"/>
  <c r="N5" i="5"/>
  <c r="N6" i="5"/>
  <c r="N7" i="5"/>
  <c r="N8" i="5"/>
  <c r="N9" i="5"/>
  <c r="N10" i="5"/>
  <c r="N11" i="5"/>
  <c r="N12" i="5"/>
  <c r="N13" i="5"/>
  <c r="N14" i="5"/>
  <c r="O4" i="5"/>
  <c r="O5" i="5"/>
  <c r="O6" i="5"/>
  <c r="O7" i="5"/>
  <c r="O8" i="5"/>
  <c r="O9" i="5"/>
  <c r="O10" i="5"/>
  <c r="O11" i="5"/>
  <c r="O31" i="5" s="1"/>
  <c r="O12" i="5"/>
  <c r="O13" i="5"/>
  <c r="O14" i="5"/>
  <c r="O15" i="5"/>
  <c r="O35" i="5" s="1"/>
  <c r="P4" i="5"/>
  <c r="P5" i="5"/>
  <c r="P6" i="5"/>
  <c r="P7" i="5"/>
  <c r="P8" i="5"/>
  <c r="P9" i="5"/>
  <c r="P10" i="5"/>
  <c r="P11" i="5"/>
  <c r="P31" i="5" s="1"/>
  <c r="P12" i="5"/>
  <c r="P13" i="5"/>
  <c r="P14" i="5"/>
  <c r="P15" i="5"/>
  <c r="P35" i="5" s="1"/>
  <c r="L5" i="11" s="1"/>
  <c r="P16" i="5"/>
  <c r="Q4" i="5"/>
  <c r="Q5" i="5"/>
  <c r="Q6" i="5"/>
  <c r="Q7" i="5"/>
  <c r="Q8" i="5"/>
  <c r="Q9" i="5"/>
  <c r="Q10" i="5"/>
  <c r="Q11" i="5"/>
  <c r="Q12" i="5"/>
  <c r="Q13" i="5"/>
  <c r="Q14" i="5"/>
  <c r="Q15" i="5"/>
  <c r="Q35" i="5" s="1"/>
  <c r="Q16" i="5"/>
  <c r="Q36" i="5" s="1"/>
  <c r="Q17" i="5"/>
  <c r="D3" i="5"/>
  <c r="E3" i="5"/>
  <c r="F3" i="5"/>
  <c r="G3" i="5"/>
  <c r="H3" i="5"/>
  <c r="I3" i="5"/>
  <c r="J3" i="5"/>
  <c r="K3" i="5"/>
  <c r="L3" i="5"/>
  <c r="L23" i="5" s="1"/>
  <c r="AD5" i="11" s="1"/>
  <c r="M3" i="5"/>
  <c r="M23" i="5" s="1"/>
  <c r="J5" i="11" s="1"/>
  <c r="J7" i="11" s="1"/>
  <c r="K4" i="11" s="1"/>
  <c r="N3" i="5"/>
  <c r="N23" i="5" s="1"/>
  <c r="O3" i="5"/>
  <c r="O23" i="5" s="1"/>
  <c r="E5" i="11" s="1"/>
  <c r="P3" i="5"/>
  <c r="Q3" i="5"/>
  <c r="C3" i="5"/>
  <c r="AK5" i="11"/>
  <c r="AA5" i="11"/>
  <c r="AA7" i="11" s="1"/>
  <c r="AB4" i="11" s="1"/>
  <c r="V5" i="11"/>
  <c r="D5" i="11"/>
  <c r="Q37" i="5"/>
  <c r="P36" i="5"/>
  <c r="N34" i="5"/>
  <c r="K5" i="11" s="1"/>
  <c r="O34" i="5"/>
  <c r="P34" i="5"/>
  <c r="Q34" i="5"/>
  <c r="M33" i="5"/>
  <c r="N33" i="5"/>
  <c r="O33" i="5"/>
  <c r="P33" i="5"/>
  <c r="Q33" i="5"/>
  <c r="L32" i="5"/>
  <c r="T5" i="11" s="1"/>
  <c r="M32" i="5"/>
  <c r="N32" i="5"/>
  <c r="O32" i="5"/>
  <c r="P32" i="5"/>
  <c r="Q32" i="5"/>
  <c r="L31" i="5"/>
  <c r="M31" i="5"/>
  <c r="N31" i="5"/>
  <c r="Q31" i="5"/>
  <c r="J30" i="5"/>
  <c r="K30" i="5"/>
  <c r="L30" i="5"/>
  <c r="M30" i="5"/>
  <c r="N30" i="5"/>
  <c r="O30" i="5"/>
  <c r="P30" i="5"/>
  <c r="Q30" i="5"/>
  <c r="I29" i="5"/>
  <c r="J29" i="5"/>
  <c r="K29" i="5"/>
  <c r="S5" i="11" s="1"/>
  <c r="L29" i="5"/>
  <c r="M29" i="5"/>
  <c r="N29" i="5"/>
  <c r="O29" i="5"/>
  <c r="P29" i="5"/>
  <c r="Q29" i="5"/>
  <c r="H28" i="5"/>
  <c r="I28" i="5"/>
  <c r="J28" i="5"/>
  <c r="K28" i="5"/>
  <c r="L28" i="5"/>
  <c r="M28" i="5"/>
  <c r="N28" i="5"/>
  <c r="O28" i="5"/>
  <c r="P28" i="5"/>
  <c r="Q28" i="5"/>
  <c r="G27" i="5"/>
  <c r="H27" i="5"/>
  <c r="L27" i="5"/>
  <c r="M27" i="5"/>
  <c r="N27" i="5"/>
  <c r="O27" i="5"/>
  <c r="P27" i="5"/>
  <c r="Q27" i="5"/>
  <c r="F26" i="5"/>
  <c r="U5" i="11" s="1"/>
  <c r="G26" i="5"/>
  <c r="H26" i="5"/>
  <c r="I26" i="5"/>
  <c r="J26" i="5"/>
  <c r="K26" i="5"/>
  <c r="L26" i="5"/>
  <c r="M26" i="5"/>
  <c r="N26" i="5"/>
  <c r="O26" i="5"/>
  <c r="P26" i="5"/>
  <c r="Q26" i="5"/>
  <c r="E25" i="5"/>
  <c r="F25" i="5"/>
  <c r="G25" i="5"/>
  <c r="I25" i="5"/>
  <c r="AJ5" i="11" s="1"/>
  <c r="J25" i="5"/>
  <c r="K25" i="5"/>
  <c r="L25" i="5"/>
  <c r="M25" i="5"/>
  <c r="N25" i="5"/>
  <c r="O25" i="5"/>
  <c r="P25" i="5"/>
  <c r="Q25" i="5"/>
  <c r="D24" i="5"/>
  <c r="E24" i="5"/>
  <c r="F24" i="5"/>
  <c r="G24" i="5"/>
  <c r="H24" i="5"/>
  <c r="I24" i="5"/>
  <c r="J24" i="5"/>
  <c r="K24" i="5"/>
  <c r="L24" i="5"/>
  <c r="AC5" i="11" s="1"/>
  <c r="M24" i="5"/>
  <c r="N24" i="5"/>
  <c r="O24" i="5"/>
  <c r="P24" i="5"/>
  <c r="Q24" i="5"/>
  <c r="AB5" i="11" s="1"/>
  <c r="D23" i="5"/>
  <c r="E23" i="5"/>
  <c r="F23" i="5"/>
  <c r="G23" i="5"/>
  <c r="H23" i="5"/>
  <c r="R5" i="11" s="1"/>
  <c r="R7" i="11" s="1"/>
  <c r="S4" i="11" s="1"/>
  <c r="I23" i="5"/>
  <c r="AI5" i="11" s="1"/>
  <c r="AI7" i="11" s="1"/>
  <c r="AJ4" i="11" s="1"/>
  <c r="J23" i="5"/>
  <c r="AL5" i="11" s="1"/>
  <c r="K23" i="5"/>
  <c r="P23" i="5"/>
  <c r="M5" i="11" s="1"/>
  <c r="Q23" i="5"/>
  <c r="C23" i="5"/>
  <c r="AF11" i="13"/>
  <c r="AF10" i="13"/>
  <c r="AF8" i="13"/>
  <c r="AF12" i="13"/>
  <c r="O6" i="13"/>
  <c r="O8" i="13"/>
  <c r="O12" i="13"/>
  <c r="O11" i="13"/>
  <c r="O10" i="13"/>
  <c r="G10" i="13"/>
  <c r="G12" i="13"/>
  <c r="G11" i="13"/>
  <c r="Y12" i="13"/>
  <c r="Y11" i="13"/>
  <c r="Y10" i="13"/>
  <c r="AC10" i="12"/>
  <c r="S10" i="12"/>
  <c r="N19" i="17" l="1"/>
  <c r="O20" i="17" s="1"/>
  <c r="F30" i="17" s="1"/>
  <c r="AC7" i="13"/>
  <c r="AD4" i="13" s="1"/>
  <c r="AD7" i="13" s="1"/>
  <c r="AE4" i="13" s="1"/>
  <c r="AE7" i="13" s="1"/>
  <c r="AF5" i="13"/>
  <c r="Y5" i="13"/>
  <c r="S7" i="13"/>
  <c r="T4" i="13" s="1"/>
  <c r="T7" i="13" s="1"/>
  <c r="U4" i="13" s="1"/>
  <c r="U7" i="13" s="1"/>
  <c r="V4" i="13" s="1"/>
  <c r="V7" i="13" s="1"/>
  <c r="W4" i="13" s="1"/>
  <c r="W7" i="13" s="1"/>
  <c r="X4" i="13" s="1"/>
  <c r="X7" i="13" s="1"/>
  <c r="O5" i="13"/>
  <c r="K7" i="13"/>
  <c r="L4" i="13" s="1"/>
  <c r="L7" i="13" s="1"/>
  <c r="M4" i="13" s="1"/>
  <c r="M7" i="13" s="1"/>
  <c r="N4" i="13" s="1"/>
  <c r="N7" i="13" s="1"/>
  <c r="G5" i="13"/>
  <c r="D7" i="13"/>
  <c r="E4" i="13" s="1"/>
  <c r="E7" i="13" s="1"/>
  <c r="F4" i="13" s="1"/>
  <c r="F7" i="13" s="1"/>
  <c r="AJ7" i="11"/>
  <c r="AK4" i="11" s="1"/>
  <c r="AK7" i="11" s="1"/>
  <c r="AL4" i="11" s="1"/>
  <c r="AL7" i="11" s="1"/>
  <c r="AE5" i="11"/>
  <c r="AB7" i="11"/>
  <c r="AC4" i="11" s="1"/>
  <c r="C7" i="11"/>
  <c r="D4" i="11" s="1"/>
  <c r="D7" i="11" s="1"/>
  <c r="E4" i="11" s="1"/>
  <c r="E7" i="11" s="1"/>
  <c r="F5" i="11"/>
  <c r="AM5" i="11"/>
  <c r="AC7" i="11"/>
  <c r="AD4" i="11" s="1"/>
  <c r="AD7" i="11" s="1"/>
  <c r="W5" i="11"/>
  <c r="S7" i="11"/>
  <c r="T4" i="11" s="1"/>
  <c r="N5" i="11"/>
  <c r="K7" i="11"/>
  <c r="L4" i="11" s="1"/>
  <c r="L7" i="11" s="1"/>
  <c r="M4" i="11" s="1"/>
  <c r="M7" i="11" s="1"/>
  <c r="S11" i="12"/>
  <c r="S12" i="12"/>
  <c r="H11" i="12"/>
  <c r="H12" i="12"/>
  <c r="H10" i="12"/>
  <c r="AC11" i="12"/>
  <c r="AC12" i="12"/>
  <c r="AM10" i="11"/>
  <c r="AE10" i="11"/>
  <c r="W10" i="11"/>
  <c r="N10" i="11"/>
  <c r="F10" i="11"/>
  <c r="AM12" i="11"/>
  <c r="AM11" i="11"/>
  <c r="AE12" i="11"/>
  <c r="AE11" i="11"/>
  <c r="W12" i="11"/>
  <c r="N8" i="17" s="1"/>
  <c r="O9" i="17" s="1"/>
  <c r="W11" i="11"/>
  <c r="N12" i="11"/>
  <c r="N11" i="11"/>
  <c r="F12" i="11"/>
  <c r="F11" i="11"/>
  <c r="F29" i="17" l="1"/>
  <c r="L11" i="17"/>
  <c r="L22" i="17"/>
  <c r="T7" i="11"/>
  <c r="U4" i="11" s="1"/>
  <c r="U7" i="11" l="1"/>
  <c r="V4" i="11" s="1"/>
  <c r="V7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tc={53FC89C6-8346-4C15-8E04-CBB3279636DD}</author>
    <author>tc={FA75F480-EBE2-4EA2-899F-E7ADC903A1A1}</author>
  </authors>
  <commentList>
    <comment ref="AI4" authorId="0" shapeId="0" xr:uid="{53FC89C6-8346-4C15-8E04-CBB3279636DD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Hora mínima para sair. Para chegar as 8 tínhamos de sair às 03:44 que não é permitido
</t>
      </text>
    </comment>
    <comment ref="E6" authorId="1" shapeId="0" xr:uid="{FA75F480-EBE2-4EA2-899F-E7ADC903A1A1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Ele aqui não descansa, porque depois vai parar. Se tivesse outra condução a seguir parava 45min</t>
      </text>
    </comment>
  </commentList>
</comments>
</file>

<file path=xl/sharedStrings.xml><?xml version="1.0" encoding="utf-8"?>
<sst xmlns="http://schemas.openxmlformats.org/spreadsheetml/2006/main" count="1710" uniqueCount="260">
  <si>
    <t>Distribuição e Transportes</t>
  </si>
  <si>
    <t>Trabalho Prático</t>
  </si>
  <si>
    <t>2023/2024</t>
  </si>
  <si>
    <t>Diana Fernandes</t>
  </si>
  <si>
    <t>Diogo Rainho</t>
  </si>
  <si>
    <t>Filipa Neves</t>
  </si>
  <si>
    <t>Maria João Mota</t>
  </si>
  <si>
    <t>Tomás Meireles</t>
  </si>
  <si>
    <t>Professora Maria Teresa</t>
  </si>
  <si>
    <t>Professora Marisa</t>
  </si>
  <si>
    <t>Cliente nº</t>
  </si>
  <si>
    <t>Localidade</t>
  </si>
  <si>
    <t>Encomenda diária (ton)</t>
  </si>
  <si>
    <t>Custos Fixos por ano</t>
  </si>
  <si>
    <t>26 TON</t>
  </si>
  <si>
    <t>40 TON</t>
  </si>
  <si>
    <t>Custos Variáveis</t>
  </si>
  <si>
    <t>Euros/ Km</t>
  </si>
  <si>
    <t>Pressupostos</t>
  </si>
  <si>
    <t>Mirandela</t>
  </si>
  <si>
    <t>Sede</t>
  </si>
  <si>
    <t>Santarém</t>
  </si>
  <si>
    <t xml:space="preserve">Av. António dos Santos 36, 2000-074 </t>
  </si>
  <si>
    <t>Castelo Branco</t>
  </si>
  <si>
    <t>Licenças</t>
  </si>
  <si>
    <t>Combustível</t>
  </si>
  <si>
    <t>1.1</t>
  </si>
  <si>
    <t>Escolha do percurso</t>
  </si>
  <si>
    <t>Percurso mais curto</t>
  </si>
  <si>
    <t>Porto</t>
  </si>
  <si>
    <t>Seguros</t>
  </si>
  <si>
    <t>Pneus</t>
  </si>
  <si>
    <t>0.03</t>
  </si>
  <si>
    <t>0.05</t>
  </si>
  <si>
    <t>Dias de trabalho anuais</t>
  </si>
  <si>
    <t>305 dias</t>
  </si>
  <si>
    <t>Guarda</t>
  </si>
  <si>
    <t>Depreciação</t>
  </si>
  <si>
    <t>Manutenção</t>
  </si>
  <si>
    <t>0.04</t>
  </si>
  <si>
    <t>0.06</t>
  </si>
  <si>
    <t>Peso bruto dos camiões</t>
  </si>
  <si>
    <t>26 ton</t>
  </si>
  <si>
    <t>40 ton</t>
  </si>
  <si>
    <t>Lisboa</t>
  </si>
  <si>
    <t>Outros</t>
  </si>
  <si>
    <t>Carga efetiva</t>
  </si>
  <si>
    <t>15 ton</t>
  </si>
  <si>
    <t>24 ton</t>
  </si>
  <si>
    <t>Coimbra</t>
  </si>
  <si>
    <t>Pessoal</t>
  </si>
  <si>
    <t>Início das atividades</t>
  </si>
  <si>
    <t>4h00</t>
  </si>
  <si>
    <t>Vila Real</t>
  </si>
  <si>
    <t>Horário das entregas</t>
  </si>
  <si>
    <t>8h00 - 19h00</t>
  </si>
  <si>
    <t>Viana do Castelo</t>
  </si>
  <si>
    <t>Velocidade média</t>
  </si>
  <si>
    <t xml:space="preserve">Estradas Nacionais </t>
  </si>
  <si>
    <t>50 km/h</t>
  </si>
  <si>
    <t>Viseu</t>
  </si>
  <si>
    <t>Autoestrada</t>
  </si>
  <si>
    <t>75 km/h</t>
  </si>
  <si>
    <t>Braga</t>
  </si>
  <si>
    <t>Tempo de carregamento/descarregamento</t>
  </si>
  <si>
    <t>40 min</t>
  </si>
  <si>
    <t>Évora</t>
  </si>
  <si>
    <t xml:space="preserve">30 ton </t>
  </si>
  <si>
    <t>30 min</t>
  </si>
  <si>
    <t>Beja</t>
  </si>
  <si>
    <t>Nota: o tempo é proporcional à carga total do camião</t>
  </si>
  <si>
    <t>Setúbal</t>
  </si>
  <si>
    <t>Tempo diário de condução máximo</t>
  </si>
  <si>
    <t>9 horas por dia (pode ser alargado para 10 horas duas vezes por semana)</t>
  </si>
  <si>
    <t>Faro</t>
  </si>
  <si>
    <t>Períodos de descanso</t>
  </si>
  <si>
    <t>45 minutos após 4h30 de condução</t>
  </si>
  <si>
    <t>Portalegre</t>
  </si>
  <si>
    <t>Cliente</t>
  </si>
  <si>
    <t>Morada</t>
  </si>
  <si>
    <t xml:space="preserve">Santarém </t>
  </si>
  <si>
    <t>Av. António dos Santos 36, 2000-074 Santarém</t>
  </si>
  <si>
    <t>Av. 25 de Abril 1, 5370-202 Mirandela</t>
  </si>
  <si>
    <t>Rua de Santiago 79A, 6000-777 Castelo Branco</t>
  </si>
  <si>
    <t>R. de Silva Porto 391, 4250-295 Porto</t>
  </si>
  <si>
    <t>Av. Dr. Afonso Costa 1, 6300-551 Guarda</t>
  </si>
  <si>
    <t>R. Sol Nascente 7, 2660-260 Santo António dos Cavaleiros</t>
  </si>
  <si>
    <t>Rua Entre Vinhas 17, 3020-171 Coimbra</t>
  </si>
  <si>
    <t>R. Dr. Domingos Campos 23, 5000-690 Vila Real</t>
  </si>
  <si>
    <t>R. Gen. Humberto Delgado 101, 4900-317 Viana do Castelo</t>
  </si>
  <si>
    <t>R. Dr. Álvaro Monteiro 18, 3510-014 Viseu</t>
  </si>
  <si>
    <t>R. Prof. Machado Vilela 244, 4715-017 Braga</t>
  </si>
  <si>
    <t>R. Gen. Humberto Delgado 27, 7005-502 Évora</t>
  </si>
  <si>
    <t>R. de Mértola 88, 7800-475 Beja</t>
  </si>
  <si>
    <t>Av. Bento Gonçalves 12, 2910-433 Setúbal</t>
  </si>
  <si>
    <t>R. do Alportel 203, 8000-257 Faro</t>
  </si>
  <si>
    <t>Av. Frei Amador Arrais 14, 7300-069 Portalegre</t>
  </si>
  <si>
    <t>Nacional</t>
  </si>
  <si>
    <t>Distância Total</t>
  </si>
  <si>
    <t xml:space="preserve"> € Portagens </t>
  </si>
  <si>
    <t>Duração</t>
  </si>
  <si>
    <t>Estrada Nacional</t>
  </si>
  <si>
    <t>Cidades</t>
  </si>
  <si>
    <t>cidades</t>
  </si>
  <si>
    <t>PROCURA CLIENTE</t>
  </si>
  <si>
    <t>Rota 1</t>
  </si>
  <si>
    <t>Rota 2</t>
  </si>
  <si>
    <t>Rota 3</t>
  </si>
  <si>
    <t>Distância total: 513</t>
  </si>
  <si>
    <t>Distância total: 1550</t>
  </si>
  <si>
    <t>Distância total: 1029</t>
  </si>
  <si>
    <t>Rota 4</t>
  </si>
  <si>
    <t>Rota 5</t>
  </si>
  <si>
    <t>Escalonamento</t>
  </si>
  <si>
    <t>Partida</t>
  </si>
  <si>
    <t>Origem (Santarém)</t>
  </si>
  <si>
    <t>Total</t>
  </si>
  <si>
    <t>1ª Semana</t>
  </si>
  <si>
    <t>Hora de Partida</t>
  </si>
  <si>
    <t>Condutores</t>
  </si>
  <si>
    <t>Tempo de Viagem (h)</t>
  </si>
  <si>
    <t>Tempo de Viagem</t>
  </si>
  <si>
    <t>A</t>
  </si>
  <si>
    <t>B</t>
  </si>
  <si>
    <t>C</t>
  </si>
  <si>
    <t>D</t>
  </si>
  <si>
    <t>E</t>
  </si>
  <si>
    <t>F</t>
  </si>
  <si>
    <t>G</t>
  </si>
  <si>
    <t>Período de Descanso</t>
  </si>
  <si>
    <t>--</t>
  </si>
  <si>
    <t>2ª F</t>
  </si>
  <si>
    <t>Rota</t>
  </si>
  <si>
    <t>Hora de Chegada</t>
  </si>
  <si>
    <t>Tempo de Condução</t>
  </si>
  <si>
    <t>3h23m</t>
  </si>
  <si>
    <t>9h46m</t>
  </si>
  <si>
    <t>9h04m</t>
  </si>
  <si>
    <t>6h56m</t>
  </si>
  <si>
    <t>4h46m</t>
  </si>
  <si>
    <t>5h07m</t>
  </si>
  <si>
    <t>7h14m</t>
  </si>
  <si>
    <t xml:space="preserve">Tempo de Descarga </t>
  </si>
  <si>
    <t>Tempo de Descarga</t>
  </si>
  <si>
    <t>Motorista</t>
  </si>
  <si>
    <t>I</t>
  </si>
  <si>
    <t>II</t>
  </si>
  <si>
    <t>Carga (Ton)</t>
  </si>
  <si>
    <t>3ª F</t>
  </si>
  <si>
    <t>Distância (km)</t>
  </si>
  <si>
    <t>Portagens</t>
  </si>
  <si>
    <t>Destino</t>
  </si>
  <si>
    <t>Origem</t>
  </si>
  <si>
    <t>4ª F</t>
  </si>
  <si>
    <t>lisboa</t>
  </si>
  <si>
    <t>8 ton</t>
  </si>
  <si>
    <t>7 ton</t>
  </si>
  <si>
    <t>5ª F</t>
  </si>
  <si>
    <t>6ª F</t>
  </si>
  <si>
    <t>Sábado</t>
  </si>
  <si>
    <t>Tempo Total Condução Semanal</t>
  </si>
  <si>
    <t>39h46m</t>
  </si>
  <si>
    <t>39h02m</t>
  </si>
  <si>
    <t>39h20m</t>
  </si>
  <si>
    <t>38h40m</t>
  </si>
  <si>
    <t>40h46m</t>
  </si>
  <si>
    <t>40h43m</t>
  </si>
  <si>
    <t>39h19m</t>
  </si>
  <si>
    <t>2ª Semana</t>
  </si>
  <si>
    <t>Tempo Total de condução das 2 semanas</t>
  </si>
  <si>
    <t>79h05m</t>
  </si>
  <si>
    <t>79h45m</t>
  </si>
  <si>
    <t>78h40m</t>
  </si>
  <si>
    <t>79h26m</t>
  </si>
  <si>
    <t>0.45</t>
  </si>
  <si>
    <t>III</t>
  </si>
  <si>
    <t>Rota 1.1</t>
  </si>
  <si>
    <t>Rota 2.1</t>
  </si>
  <si>
    <t>Rota 3.1</t>
  </si>
  <si>
    <t>Rota 4.1</t>
  </si>
  <si>
    <t>5h25m</t>
  </si>
  <si>
    <t>7h48m</t>
  </si>
  <si>
    <t>7h02m</t>
  </si>
  <si>
    <t>6h16m</t>
  </si>
  <si>
    <t>6h08m</t>
  </si>
  <si>
    <t>5h59m</t>
  </si>
  <si>
    <t>37h21m</t>
  </si>
  <si>
    <t>40h06m</t>
  </si>
  <si>
    <t>36h48m</t>
  </si>
  <si>
    <t>36h54m</t>
  </si>
  <si>
    <t>77h27m</t>
  </si>
  <si>
    <t>76h54m</t>
  </si>
  <si>
    <t>Custos Fixos Por Ano</t>
  </si>
  <si>
    <t>€</t>
  </si>
  <si>
    <t>€/km</t>
  </si>
  <si>
    <t>Custos Fixos</t>
  </si>
  <si>
    <t xml:space="preserve">Combustível </t>
  </si>
  <si>
    <t>Por Camião 26 ton/ano</t>
  </si>
  <si>
    <t>Nº Camiões</t>
  </si>
  <si>
    <t>Por Camião 26 ton/km</t>
  </si>
  <si>
    <t>Total km's/dia</t>
  </si>
  <si>
    <t>Por Condutor/ano</t>
  </si>
  <si>
    <t>Nº Condutores</t>
  </si>
  <si>
    <t>Dias de Trabalho</t>
  </si>
  <si>
    <t>Total Custos Fixos:</t>
  </si>
  <si>
    <t>Total Custos Variáveis:</t>
  </si>
  <si>
    <t>Custos Totais:</t>
  </si>
  <si>
    <t>Por Camião 40 ton/ano</t>
  </si>
  <si>
    <t>Por Camião 40 ton/km</t>
  </si>
  <si>
    <t>Análise dos resultados</t>
  </si>
  <si>
    <t>Nº de camiões</t>
  </si>
  <si>
    <t>Nº condutores</t>
  </si>
  <si>
    <t>Custos totais</t>
  </si>
  <si>
    <t>Alínea a (26 ton)</t>
  </si>
  <si>
    <t>Alínea b (40 ton)</t>
  </si>
  <si>
    <t>Londres</t>
  </si>
  <si>
    <t>4 Great James Street, Bloomsbury, Londres, WC1N 3DB</t>
  </si>
  <si>
    <t>Cambridge</t>
  </si>
  <si>
    <t>1 Glisson Road, Cambridge, CB1 2HA</t>
  </si>
  <si>
    <t>Manchester</t>
  </si>
  <si>
    <t>Mowgli Street Food, 16 Exchange Square, Manchester, M3 1BD</t>
  </si>
  <si>
    <t>Loughborough</t>
  </si>
  <si>
    <t>18 Mountfields Dr, Loughborough LE11 3JE, Reino Unido</t>
  </si>
  <si>
    <t>Bristol</t>
  </si>
  <si>
    <t>56 City Rd, St Paul's, Bristol BS2 8TX, Reino Unido</t>
  </si>
  <si>
    <t>Distância total</t>
  </si>
  <si>
    <t>Distâncias AE</t>
  </si>
  <si>
    <t>Distância nacional</t>
  </si>
  <si>
    <t>Via marítima - Santarém - Porto de Lisboa -  Southampton</t>
  </si>
  <si>
    <t>Porto de Lisboa</t>
  </si>
  <si>
    <t>20 ton</t>
  </si>
  <si>
    <t>0 ton</t>
  </si>
  <si>
    <t>Portagens / Selo</t>
  </si>
  <si>
    <t>Distância AE</t>
  </si>
  <si>
    <t>Distância em nacional</t>
  </si>
  <si>
    <t>Portagens €</t>
  </si>
  <si>
    <t>Santarém -&gt; Porto de Lisboa</t>
  </si>
  <si>
    <t>77 km</t>
  </si>
  <si>
    <t>11 km</t>
  </si>
  <si>
    <t>1h25 min</t>
  </si>
  <si>
    <t>Custos Totais/ano :</t>
  </si>
  <si>
    <t>Custo de Cada Entrega no Porto de Lisboa:</t>
  </si>
  <si>
    <t>Custo do envio do Porto de Lisboa para Southampton:</t>
  </si>
  <si>
    <t>Custo total - Santarém - Southampton</t>
  </si>
  <si>
    <t>Via marítima - Santarém- Corunha - Southampton</t>
  </si>
  <si>
    <t>Corunha</t>
  </si>
  <si>
    <t> </t>
  </si>
  <si>
    <t>545 km</t>
  </si>
  <si>
    <t>30.150,00 €</t>
  </si>
  <si>
    <t>27.000,00 €</t>
  </si>
  <si>
    <t>84.150,00 €</t>
  </si>
  <si>
    <t>353.415,70 €</t>
  </si>
  <si>
    <t>Custo de Cada Entrega em Corunha:</t>
  </si>
  <si>
    <t>Custo do envio de Corunha para Southampton:</t>
  </si>
  <si>
    <t>3.400 €</t>
  </si>
  <si>
    <t>Via terrestre - Santarém - Londres</t>
  </si>
  <si>
    <t>Vitória - Gasteiz</t>
  </si>
  <si>
    <t>Le Mans</t>
  </si>
  <si>
    <t>Vitória-Gasteiz</t>
  </si>
  <si>
    <t>Custo de Cada Entrega em Londres: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</si>
</sst>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[$-F400]h:mm:ss\ AM/PM"/>
    <numFmt numFmtId="166" formatCode="h:mm;@"/>
    <numFmt numFmtId="167" formatCode="_-* #,##0.00\ [$€-1]_-;\-* #,##0.00\ [$€-1]_-;_-* &quot;-&quot;??\ [$€-1]_-;_-@_-"/>
    <numFmt numFmtId="168" formatCode="#,##0\ &quot;€&quot;"/>
  </numFmts>
  <fonts count="28" x14ac:knownFonts="1">
    <font>
      <sz val="11"/>
      <color theme="1"/>
      <name val="Aptos Narrow"/>
      <family val="2"/>
      <scheme val="minor"/>
    </font>
    <font>
      <b/>
      <sz val="9"/>
      <color theme="0"/>
      <name val="Arial Nova"/>
      <family val="2"/>
    </font>
    <font>
      <sz val="9"/>
      <color theme="1"/>
      <name val="Arial Nova"/>
      <family val="2"/>
    </font>
    <font>
      <sz val="9"/>
      <name val="Arial Nova"/>
      <family val="2"/>
    </font>
    <font>
      <b/>
      <sz val="9"/>
      <name val="Arial Nova"/>
      <family val="2"/>
    </font>
    <font>
      <sz val="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1"/>
      <name val="Arial Nova"/>
      <family val="2"/>
    </font>
    <font>
      <b/>
      <sz val="9"/>
      <color rgb="FF333333"/>
      <name val="Arial Nova"/>
      <family val="2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0"/>
      <name val="Arial Nova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FFFFF"/>
      <name val="Aptos Narrow"/>
      <family val="2"/>
    </font>
    <font>
      <sz val="3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6"/>
      <color theme="1"/>
      <name val="Times New Roman"/>
      <family val="1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006400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BEFFB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499984740745262"/>
        <bgColor theme="9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96B24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FFFFFF"/>
        <bgColor rgb="FF000000"/>
      </patternFill>
    </fill>
  </fills>
  <borders count="9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theme="6" tint="-0.24994659260841701"/>
      </left>
      <right/>
      <top style="medium">
        <color theme="6" tint="-0.24994659260841701"/>
      </top>
      <bottom/>
      <diagonal/>
    </border>
    <border>
      <left/>
      <right/>
      <top style="medium">
        <color theme="6" tint="-0.24994659260841701"/>
      </top>
      <bottom/>
      <diagonal/>
    </border>
    <border>
      <left/>
      <right style="medium">
        <color theme="6" tint="-0.24994659260841701"/>
      </right>
      <top style="medium">
        <color theme="6" tint="-0.24994659260841701"/>
      </top>
      <bottom/>
      <diagonal/>
    </border>
    <border>
      <left style="medium">
        <color theme="6" tint="-0.24994659260841701"/>
      </left>
      <right/>
      <top/>
      <bottom/>
      <diagonal/>
    </border>
    <border>
      <left/>
      <right style="medium">
        <color theme="6" tint="-0.24994659260841701"/>
      </right>
      <top/>
      <bottom/>
      <diagonal/>
    </border>
    <border>
      <left style="medium">
        <color theme="6" tint="-0.24994659260841701"/>
      </left>
      <right/>
      <top/>
      <bottom style="medium">
        <color theme="6" tint="-0.24994659260841701"/>
      </bottom>
      <diagonal/>
    </border>
    <border>
      <left/>
      <right/>
      <top/>
      <bottom style="medium">
        <color theme="6" tint="-0.24994659260841701"/>
      </bottom>
      <diagonal/>
    </border>
    <border>
      <left/>
      <right style="medium">
        <color theme="6" tint="-0.24994659260841701"/>
      </right>
      <top/>
      <bottom style="medium">
        <color theme="6" tint="-0.249946592608417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 style="thin">
        <color auto="1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20" fillId="0" borderId="0" applyFont="0" applyFill="0" applyBorder="0" applyAlignment="0" applyProtection="0"/>
  </cellStyleXfs>
  <cellXfs count="411">
    <xf numFmtId="0" fontId="0" fillId="0" borderId="0" xfId="0"/>
    <xf numFmtId="0" fontId="1" fillId="4" borderId="0" xfId="0" applyFont="1" applyFill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2" fillId="5" borderId="0" xfId="0" applyNumberFormat="1" applyFont="1" applyFill="1" applyAlignment="1">
      <alignment horizontal="center" vertical="center"/>
    </xf>
    <xf numFmtId="1" fontId="3" fillId="5" borderId="0" xfId="0" applyNumberFormat="1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" fillId="4" borderId="25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6" borderId="1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20" xfId="0" applyFont="1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4" fillId="6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/>
    </xf>
    <xf numFmtId="164" fontId="1" fillId="4" borderId="0" xfId="0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" fillId="5" borderId="0" xfId="0" applyNumberFormat="1" applyFont="1" applyFill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164" fontId="3" fillId="5" borderId="0" xfId="0" applyNumberFormat="1" applyFont="1" applyFill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0" fontId="7" fillId="0" borderId="35" xfId="0" applyFont="1" applyBorder="1"/>
    <xf numFmtId="0" fontId="7" fillId="0" borderId="36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10" borderId="8" xfId="0" applyFill="1" applyBorder="1"/>
    <xf numFmtId="0" fontId="0" fillId="10" borderId="29" xfId="0" applyFill="1" applyBorder="1"/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8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" fontId="15" fillId="3" borderId="8" xfId="0" applyNumberFormat="1" applyFont="1" applyFill="1" applyBorder="1" applyAlignment="1">
      <alignment horizontal="center" vertical="center"/>
    </xf>
    <xf numFmtId="1" fontId="14" fillId="3" borderId="8" xfId="0" applyNumberFormat="1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1" fontId="15" fillId="3" borderId="37" xfId="0" applyNumberFormat="1" applyFont="1" applyFill="1" applyBorder="1" applyAlignment="1">
      <alignment horizontal="center" vertical="center"/>
    </xf>
    <xf numFmtId="1" fontId="14" fillId="3" borderId="37" xfId="0" applyNumberFormat="1" applyFont="1" applyFill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/>
    </xf>
    <xf numFmtId="0" fontId="7" fillId="11" borderId="38" xfId="0" applyFont="1" applyFill="1" applyBorder="1"/>
    <xf numFmtId="0" fontId="12" fillId="12" borderId="29" xfId="0" applyFont="1" applyFill="1" applyBorder="1" applyAlignment="1">
      <alignment horizontal="center" vertical="center"/>
    </xf>
    <xf numFmtId="166" fontId="0" fillId="0" borderId="29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0" fontId="12" fillId="12" borderId="40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2" fillId="12" borderId="7" xfId="0" applyFon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29" xfId="0" applyNumberFormat="1" applyFill="1" applyBorder="1" applyAlignment="1">
      <alignment horizontal="center" vertical="center"/>
    </xf>
    <xf numFmtId="0" fontId="4" fillId="7" borderId="41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3" fillId="7" borderId="43" xfId="0" applyFont="1" applyFill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5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44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5" fillId="7" borderId="46" xfId="0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165" fontId="0" fillId="13" borderId="4" xfId="0" applyNumberFormat="1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29" xfId="0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0" xfId="0" applyNumberFormat="1"/>
    <xf numFmtId="166" fontId="12" fillId="12" borderId="3" xfId="0" applyNumberFormat="1" applyFont="1" applyFill="1" applyBorder="1" applyAlignment="1">
      <alignment horizontal="center" vertical="center"/>
    </xf>
    <xf numFmtId="166" fontId="0" fillId="13" borderId="29" xfId="0" applyNumberFormat="1" applyFill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166" fontId="0" fillId="13" borderId="4" xfId="0" applyNumberFormat="1" applyFill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166" fontId="0" fillId="13" borderId="8" xfId="0" applyNumberFormat="1" applyFill="1" applyBorder="1" applyAlignment="1">
      <alignment horizontal="center" vertical="center"/>
    </xf>
    <xf numFmtId="0" fontId="7" fillId="9" borderId="29" xfId="0" applyFont="1" applyFill="1" applyBorder="1"/>
    <xf numFmtId="0" fontId="0" fillId="10" borderId="47" xfId="0" applyFill="1" applyBorder="1"/>
    <xf numFmtId="0" fontId="7" fillId="9" borderId="8" xfId="0" applyFont="1" applyFill="1" applyBorder="1"/>
    <xf numFmtId="0" fontId="7" fillId="11" borderId="8" xfId="0" applyFont="1" applyFill="1" applyBorder="1"/>
    <xf numFmtId="0" fontId="7" fillId="11" borderId="29" xfId="0" applyFont="1" applyFill="1" applyBorder="1"/>
    <xf numFmtId="0" fontId="7" fillId="10" borderId="8" xfId="0" applyFont="1" applyFill="1" applyBorder="1"/>
    <xf numFmtId="0" fontId="0" fillId="0" borderId="29" xfId="0" quotePrefix="1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20" fontId="0" fillId="0" borderId="4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8" xfId="0" applyBorder="1"/>
    <xf numFmtId="0" fontId="0" fillId="0" borderId="23" xfId="0" applyBorder="1" applyAlignment="1">
      <alignment horizontal="center" vertical="center"/>
    </xf>
    <xf numFmtId="0" fontId="0" fillId="0" borderId="48" xfId="0" applyBorder="1" applyAlignment="1">
      <alignment horizontal="center"/>
    </xf>
    <xf numFmtId="46" fontId="0" fillId="0" borderId="12" xfId="0" applyNumberFormat="1" applyBorder="1" applyAlignment="1">
      <alignment horizontal="center" vertical="center"/>
    </xf>
    <xf numFmtId="46" fontId="0" fillId="0" borderId="6" xfId="0" applyNumberFormat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20" fontId="0" fillId="18" borderId="8" xfId="0" applyNumberFormat="1" applyFill="1" applyBorder="1" applyAlignment="1">
      <alignment horizontal="center" vertical="center"/>
    </xf>
    <xf numFmtId="20" fontId="0" fillId="15" borderId="8" xfId="0" applyNumberFormat="1" applyFill="1" applyBorder="1" applyAlignment="1">
      <alignment horizontal="center" vertical="center"/>
    </xf>
    <xf numFmtId="20" fontId="0" fillId="16" borderId="8" xfId="0" applyNumberFormat="1" applyFill="1" applyBorder="1" applyAlignment="1">
      <alignment horizontal="center" vertical="center"/>
    </xf>
    <xf numFmtId="20" fontId="0" fillId="17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18" borderId="29" xfId="0" applyNumberFormat="1" applyFill="1" applyBorder="1" applyAlignment="1">
      <alignment horizontal="center" vertical="center"/>
    </xf>
    <xf numFmtId="166" fontId="0" fillId="3" borderId="29" xfId="0" applyNumberFormat="1" applyFill="1" applyBorder="1" applyAlignment="1">
      <alignment horizontal="center" vertical="center"/>
    </xf>
    <xf numFmtId="0" fontId="12" fillId="12" borderId="34" xfId="0" applyFont="1" applyFill="1" applyBorder="1" applyAlignment="1">
      <alignment horizontal="center" vertical="center"/>
    </xf>
    <xf numFmtId="0" fontId="12" fillId="12" borderId="31" xfId="0" applyFont="1" applyFill="1" applyBorder="1" applyAlignment="1">
      <alignment horizontal="center" vertical="center"/>
    </xf>
    <xf numFmtId="0" fontId="12" fillId="12" borderId="50" xfId="0" applyFont="1" applyFill="1" applyBorder="1" applyAlignment="1">
      <alignment horizontal="center" vertical="center"/>
    </xf>
    <xf numFmtId="0" fontId="12" fillId="12" borderId="51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46" fontId="0" fillId="0" borderId="8" xfId="0" applyNumberFormat="1" applyBorder="1" applyAlignment="1">
      <alignment horizontal="center" vertical="center"/>
    </xf>
    <xf numFmtId="46" fontId="0" fillId="0" borderId="4" xfId="0" applyNumberFormat="1" applyBorder="1" applyAlignment="1">
      <alignment horizontal="center" vertical="center"/>
    </xf>
    <xf numFmtId="0" fontId="4" fillId="8" borderId="42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/>
    </xf>
    <xf numFmtId="165" fontId="2" fillId="2" borderId="0" xfId="0" applyNumberFormat="1" applyFont="1" applyFill="1" applyAlignment="1">
      <alignment horizontal="center" vertical="center"/>
    </xf>
    <xf numFmtId="165" fontId="1" fillId="4" borderId="0" xfId="0" applyNumberFormat="1" applyFont="1" applyFill="1" applyAlignment="1">
      <alignment horizontal="center" vertical="center"/>
    </xf>
    <xf numFmtId="165" fontId="3" fillId="5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 vertical="center"/>
    </xf>
    <xf numFmtId="165" fontId="0" fillId="0" borderId="0" xfId="0" applyNumberFormat="1"/>
    <xf numFmtId="165" fontId="0" fillId="0" borderId="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29" xfId="0" quotePrefix="1" applyNumberFormat="1" applyBorder="1" applyAlignment="1">
      <alignment horizontal="center" vertical="center"/>
    </xf>
    <xf numFmtId="165" fontId="0" fillId="0" borderId="8" xfId="0" quotePrefix="1" applyNumberFormat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165" fontId="0" fillId="3" borderId="0" xfId="0" applyNumberFormat="1" applyFill="1" applyAlignment="1">
      <alignment horizontal="center"/>
    </xf>
    <xf numFmtId="165" fontId="0" fillId="3" borderId="8" xfId="0" applyNumberFormat="1" applyFill="1" applyBorder="1" applyAlignment="1">
      <alignment horizontal="center" vertical="center"/>
    </xf>
    <xf numFmtId="165" fontId="0" fillId="3" borderId="8" xfId="0" quotePrefix="1" applyNumberFormat="1" applyFill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3" borderId="29" xfId="0" quotePrefix="1" applyNumberFormat="1" applyFill="1" applyBorder="1" applyAlignment="1">
      <alignment horizontal="center" vertical="center"/>
    </xf>
    <xf numFmtId="0" fontId="0" fillId="22" borderId="8" xfId="0" applyFill="1" applyBorder="1" applyAlignment="1">
      <alignment horizontal="center" vertical="center"/>
    </xf>
    <xf numFmtId="20" fontId="0" fillId="22" borderId="8" xfId="0" applyNumberFormat="1" applyFill="1" applyBorder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0" fillId="13" borderId="0" xfId="0" applyFill="1"/>
    <xf numFmtId="0" fontId="0" fillId="5" borderId="0" xfId="0" applyFill="1"/>
    <xf numFmtId="0" fontId="0" fillId="20" borderId="57" xfId="0" applyFill="1" applyBorder="1"/>
    <xf numFmtId="0" fontId="19" fillId="20" borderId="58" xfId="0" applyFont="1" applyFill="1" applyBorder="1" applyAlignment="1">
      <alignment horizontal="center" vertical="center"/>
    </xf>
    <xf numFmtId="0" fontId="19" fillId="20" borderId="57" xfId="0" applyFont="1" applyFill="1" applyBorder="1" applyAlignment="1">
      <alignment horizontal="center" vertical="center"/>
    </xf>
    <xf numFmtId="0" fontId="19" fillId="21" borderId="57" xfId="0" applyFont="1" applyFill="1" applyBorder="1" applyAlignment="1">
      <alignment horizontal="center" vertical="center"/>
    </xf>
    <xf numFmtId="0" fontId="19" fillId="20" borderId="59" xfId="0" applyFont="1" applyFill="1" applyBorder="1" applyAlignment="1">
      <alignment horizontal="center" vertical="center"/>
    </xf>
    <xf numFmtId="0" fontId="0" fillId="13" borderId="60" xfId="0" applyFill="1" applyBorder="1"/>
    <xf numFmtId="1" fontId="1" fillId="4" borderId="61" xfId="0" applyNumberFormat="1" applyFont="1" applyFill="1" applyBorder="1" applyAlignment="1">
      <alignment horizontal="center" vertical="center"/>
    </xf>
    <xf numFmtId="0" fontId="0" fillId="5" borderId="60" xfId="0" applyFill="1" applyBorder="1"/>
    <xf numFmtId="0" fontId="0" fillId="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58" xfId="0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58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0" fillId="13" borderId="58" xfId="0" applyNumberFormat="1" applyFill="1" applyBorder="1" applyAlignment="1">
      <alignment horizontal="center" vertical="center"/>
    </xf>
    <xf numFmtId="164" fontId="0" fillId="0" borderId="58" xfId="0" applyNumberFormat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2" borderId="58" xfId="0" applyNumberFormat="1" applyFill="1" applyBorder="1" applyAlignment="1">
      <alignment horizontal="center" vertical="center"/>
    </xf>
    <xf numFmtId="0" fontId="0" fillId="0" borderId="36" xfId="0" applyBorder="1"/>
    <xf numFmtId="0" fontId="12" fillId="12" borderId="1" xfId="0" applyFont="1" applyFill="1" applyBorder="1" applyAlignment="1">
      <alignment horizontal="center" vertical="center"/>
    </xf>
    <xf numFmtId="0" fontId="12" fillId="12" borderId="11" xfId="0" applyFont="1" applyFill="1" applyBorder="1" applyAlignment="1">
      <alignment horizontal="center" vertical="center"/>
    </xf>
    <xf numFmtId="2" fontId="0" fillId="0" borderId="0" xfId="0" applyNumberFormat="1"/>
    <xf numFmtId="0" fontId="12" fillId="3" borderId="0" xfId="0" applyFont="1" applyFill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2" fontId="0" fillId="0" borderId="63" xfId="0" applyNumberForma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2" fontId="0" fillId="3" borderId="10" xfId="0" applyNumberFormat="1" applyFill="1" applyBorder="1" applyAlignment="1">
      <alignment horizontal="center" vertical="center"/>
    </xf>
    <xf numFmtId="0" fontId="0" fillId="3" borderId="65" xfId="0" applyFill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2" fontId="0" fillId="3" borderId="52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164" fontId="0" fillId="0" borderId="3" xfId="0" applyNumberFormat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2" fillId="3" borderId="52" xfId="0" applyFont="1" applyFill="1" applyBorder="1" applyAlignment="1">
      <alignment horizontal="center" vertical="center"/>
    </xf>
    <xf numFmtId="0" fontId="12" fillId="12" borderId="39" xfId="0" applyFont="1" applyFill="1" applyBorder="1" applyAlignment="1">
      <alignment horizontal="center" vertical="center"/>
    </xf>
    <xf numFmtId="0" fontId="12" fillId="3" borderId="37" xfId="0" applyFont="1" applyFill="1" applyBorder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7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44" fontId="0" fillId="0" borderId="0" xfId="2" applyFont="1" applyBorder="1" applyAlignment="1">
      <alignment horizontal="right" vertical="center"/>
    </xf>
    <xf numFmtId="0" fontId="0" fillId="0" borderId="68" xfId="0" applyBorder="1"/>
    <xf numFmtId="0" fontId="12" fillId="12" borderId="10" xfId="0" applyFont="1" applyFill="1" applyBorder="1"/>
    <xf numFmtId="0" fontId="12" fillId="12" borderId="62" xfId="0" applyFont="1" applyFill="1" applyBorder="1"/>
    <xf numFmtId="0" fontId="12" fillId="12" borderId="8" xfId="0" applyFont="1" applyFill="1" applyBorder="1"/>
    <xf numFmtId="6" fontId="0" fillId="3" borderId="0" xfId="0" applyNumberFormat="1" applyFill="1"/>
    <xf numFmtId="1" fontId="2" fillId="0" borderId="14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1" fontId="2" fillId="6" borderId="8" xfId="1" applyNumberFormat="1" applyFont="1" applyFill="1" applyBorder="1" applyAlignment="1">
      <alignment horizontal="center"/>
    </xf>
    <xf numFmtId="1" fontId="2" fillId="6" borderId="20" xfId="0" applyNumberFormat="1" applyFont="1" applyFill="1" applyBorder="1" applyAlignment="1">
      <alignment horizontal="center"/>
    </xf>
    <xf numFmtId="1" fontId="2" fillId="0" borderId="8" xfId="0" applyNumberFormat="1" applyFont="1" applyBorder="1" applyAlignment="1">
      <alignment horizontal="center"/>
    </xf>
    <xf numFmtId="1" fontId="2" fillId="0" borderId="20" xfId="0" applyNumberFormat="1" applyFont="1" applyBorder="1" applyAlignment="1">
      <alignment horizontal="center"/>
    </xf>
    <xf numFmtId="0" fontId="2" fillId="3" borderId="63" xfId="0" applyFont="1" applyFill="1" applyBorder="1" applyAlignment="1">
      <alignment horizontal="center" vertical="center"/>
    </xf>
    <xf numFmtId="0" fontId="2" fillId="3" borderId="64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 vertical="center"/>
    </xf>
    <xf numFmtId="166" fontId="0" fillId="19" borderId="8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1" fillId="12" borderId="8" xfId="0" applyFont="1" applyFill="1" applyBorder="1" applyAlignment="1">
      <alignment horizontal="center"/>
    </xf>
    <xf numFmtId="0" fontId="21" fillId="12" borderId="5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21" fillId="12" borderId="34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21" fillId="12" borderId="3" xfId="0" applyFont="1" applyFill="1" applyBorder="1" applyAlignment="1">
      <alignment horizontal="center"/>
    </xf>
    <xf numFmtId="0" fontId="21" fillId="12" borderId="4" xfId="0" applyFont="1" applyFill="1" applyBorder="1" applyAlignment="1">
      <alignment horizontal="center"/>
    </xf>
    <xf numFmtId="2" fontId="0" fillId="23" borderId="4" xfId="0" applyNumberFormat="1" applyFill="1" applyBorder="1" applyAlignment="1">
      <alignment horizontal="center" vertical="center"/>
    </xf>
    <xf numFmtId="0" fontId="0" fillId="23" borderId="4" xfId="0" applyFill="1" applyBorder="1" applyAlignment="1">
      <alignment horizontal="center" vertical="center"/>
    </xf>
    <xf numFmtId="166" fontId="0" fillId="0" borderId="79" xfId="0" applyNumberFormat="1" applyBorder="1" applyAlignment="1">
      <alignment horizontal="center" vertical="center"/>
    </xf>
    <xf numFmtId="165" fontId="0" fillId="0" borderId="79" xfId="0" applyNumberFormat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2" fontId="0" fillId="0" borderId="79" xfId="0" applyNumberFormat="1" applyBorder="1" applyAlignment="1">
      <alignment horizontal="center" vertical="center"/>
    </xf>
    <xf numFmtId="164" fontId="0" fillId="0" borderId="79" xfId="0" applyNumberFormat="1" applyBorder="1" applyAlignment="1">
      <alignment horizontal="center" vertical="center"/>
    </xf>
    <xf numFmtId="0" fontId="12" fillId="12" borderId="80" xfId="0" applyFont="1" applyFill="1" applyBorder="1" applyAlignment="1">
      <alignment horizontal="center" vertical="center"/>
    </xf>
    <xf numFmtId="165" fontId="0" fillId="3" borderId="81" xfId="0" applyNumberFormat="1" applyFill="1" applyBorder="1" applyAlignment="1">
      <alignment horizontal="center" vertical="center"/>
    </xf>
    <xf numFmtId="2" fontId="0" fillId="3" borderId="81" xfId="0" applyNumberFormat="1" applyFill="1" applyBorder="1" applyAlignment="1">
      <alignment horizontal="center" vertical="center"/>
    </xf>
    <xf numFmtId="164" fontId="0" fillId="3" borderId="81" xfId="0" applyNumberFormat="1" applyFill="1" applyBorder="1" applyAlignment="1">
      <alignment horizontal="center" vertical="center"/>
    </xf>
    <xf numFmtId="0" fontId="0" fillId="13" borderId="81" xfId="0" applyFill="1" applyBorder="1" applyAlignment="1">
      <alignment horizontal="center" vertical="center"/>
    </xf>
    <xf numFmtId="0" fontId="12" fillId="13" borderId="82" xfId="0" applyFont="1" applyFill="1" applyBorder="1" applyAlignment="1">
      <alignment horizontal="center" vertical="center"/>
    </xf>
    <xf numFmtId="2" fontId="0" fillId="13" borderId="81" xfId="0" applyNumberFormat="1" applyFill="1" applyBorder="1" applyAlignment="1">
      <alignment horizontal="center" vertical="center"/>
    </xf>
    <xf numFmtId="0" fontId="0" fillId="13" borderId="81" xfId="0" applyFill="1" applyBorder="1" applyAlignment="1">
      <alignment vertical="center"/>
    </xf>
    <xf numFmtId="165" fontId="0" fillId="3" borderId="81" xfId="0" applyNumberFormat="1" applyFill="1" applyBorder="1" applyAlignment="1">
      <alignment vertical="center"/>
    </xf>
    <xf numFmtId="2" fontId="0" fillId="3" borderId="81" xfId="0" applyNumberFormat="1" applyFill="1" applyBorder="1" applyAlignment="1">
      <alignment vertical="center"/>
    </xf>
    <xf numFmtId="164" fontId="0" fillId="3" borderId="81" xfId="0" applyNumberFormat="1" applyFill="1" applyBorder="1" applyAlignment="1">
      <alignment vertical="center"/>
    </xf>
    <xf numFmtId="0" fontId="7" fillId="9" borderId="47" xfId="0" applyFont="1" applyFill="1" applyBorder="1"/>
    <xf numFmtId="0" fontId="7" fillId="10" borderId="29" xfId="0" applyFont="1" applyFill="1" applyBorder="1"/>
    <xf numFmtId="0" fontId="7" fillId="11" borderId="47" xfId="0" applyFont="1" applyFill="1" applyBorder="1"/>
    <xf numFmtId="164" fontId="0" fillId="23" borderId="4" xfId="0" applyNumberFormat="1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2" fontId="0" fillId="18" borderId="4" xfId="0" applyNumberFormat="1" applyFill="1" applyBorder="1" applyAlignment="1">
      <alignment horizontal="center" vertical="center"/>
    </xf>
    <xf numFmtId="164" fontId="0" fillId="18" borderId="4" xfId="0" applyNumberFormat="1" applyFill="1" applyBorder="1" applyAlignment="1">
      <alignment horizontal="center" vertical="center"/>
    </xf>
    <xf numFmtId="20" fontId="22" fillId="0" borderId="31" xfId="0" applyNumberFormat="1" applyFont="1" applyBorder="1" applyAlignment="1">
      <alignment horizontal="center"/>
    </xf>
    <xf numFmtId="0" fontId="22" fillId="0" borderId="38" xfId="0" applyFont="1" applyBorder="1" applyAlignment="1">
      <alignment horizontal="center"/>
    </xf>
    <xf numFmtId="0" fontId="22" fillId="25" borderId="88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26" borderId="88" xfId="0" applyFont="1" applyFill="1" applyBorder="1" applyAlignment="1">
      <alignment horizontal="center"/>
    </xf>
    <xf numFmtId="8" fontId="22" fillId="0" borderId="31" xfId="0" applyNumberFormat="1" applyFont="1" applyBorder="1" applyAlignment="1">
      <alignment horizontal="center"/>
    </xf>
    <xf numFmtId="8" fontId="22" fillId="0" borderId="38" xfId="0" applyNumberFormat="1" applyFont="1" applyBorder="1" applyAlignment="1">
      <alignment horizontal="center"/>
    </xf>
    <xf numFmtId="8" fontId="22" fillId="26" borderId="88" xfId="0" applyNumberFormat="1" applyFont="1" applyFill="1" applyBorder="1" applyAlignment="1">
      <alignment horizontal="center"/>
    </xf>
    <xf numFmtId="0" fontId="23" fillId="24" borderId="83" xfId="0" applyFont="1" applyFill="1" applyBorder="1" applyAlignment="1">
      <alignment horizontal="center"/>
    </xf>
    <xf numFmtId="0" fontId="23" fillId="24" borderId="84" xfId="0" applyFont="1" applyFill="1" applyBorder="1" applyAlignment="1">
      <alignment horizontal="center"/>
    </xf>
    <xf numFmtId="0" fontId="23" fillId="24" borderId="85" xfId="0" applyFont="1" applyFill="1" applyBorder="1" applyAlignment="1">
      <alignment horizontal="center"/>
    </xf>
    <xf numFmtId="0" fontId="23" fillId="24" borderId="86" xfId="0" applyFont="1" applyFill="1" applyBorder="1" applyAlignment="1">
      <alignment horizontal="center"/>
    </xf>
    <xf numFmtId="0" fontId="23" fillId="24" borderId="87" xfId="0" applyFont="1" applyFill="1" applyBorder="1" applyAlignment="1">
      <alignment horizontal="center"/>
    </xf>
    <xf numFmtId="0" fontId="23" fillId="24" borderId="89" xfId="0" applyFont="1" applyFill="1" applyBorder="1" applyAlignment="1">
      <alignment horizontal="center"/>
    </xf>
    <xf numFmtId="0" fontId="23" fillId="24" borderId="90" xfId="0" applyFont="1" applyFill="1" applyBorder="1" applyAlignment="1">
      <alignment horizontal="center"/>
    </xf>
    <xf numFmtId="0" fontId="23" fillId="24" borderId="91" xfId="0" applyFont="1" applyFill="1" applyBorder="1" applyAlignment="1">
      <alignment horizontal="center"/>
    </xf>
    <xf numFmtId="0" fontId="23" fillId="25" borderId="92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24" borderId="31" xfId="0" applyFont="1" applyFill="1" applyBorder="1" applyAlignment="1">
      <alignment horizontal="center" vertical="center"/>
    </xf>
    <xf numFmtId="0" fontId="23" fillId="24" borderId="38" xfId="0" applyFont="1" applyFill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vertical="center"/>
    </xf>
    <xf numFmtId="8" fontId="22" fillId="0" borderId="38" xfId="0" applyNumberFormat="1" applyFont="1" applyBorder="1" applyAlignment="1">
      <alignment horizontal="center" vertical="center"/>
    </xf>
    <xf numFmtId="20" fontId="22" fillId="26" borderId="88" xfId="0" applyNumberFormat="1" applyFont="1" applyFill="1" applyBorder="1" applyAlignment="1">
      <alignment horizontal="center"/>
    </xf>
    <xf numFmtId="20" fontId="22" fillId="0" borderId="38" xfId="0" applyNumberFormat="1" applyFont="1" applyBorder="1" applyAlignment="1">
      <alignment horizont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2" fontId="0" fillId="5" borderId="10" xfId="0" applyNumberFormat="1" applyFill="1" applyBorder="1" applyAlignment="1">
      <alignment horizontal="center" vertical="center"/>
    </xf>
    <xf numFmtId="0" fontId="0" fillId="5" borderId="65" xfId="0" applyFill="1" applyBorder="1" applyAlignment="1">
      <alignment horizontal="center" vertical="center"/>
    </xf>
    <xf numFmtId="2" fontId="0" fillId="5" borderId="52" xfId="0" applyNumberFormat="1" applyFill="1" applyBorder="1" applyAlignment="1">
      <alignment horizontal="center" vertical="center"/>
    </xf>
    <xf numFmtId="0" fontId="24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0" fontId="1" fillId="4" borderId="21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1" fillId="4" borderId="74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75" xfId="0" applyFont="1" applyFill="1" applyBorder="1" applyAlignment="1">
      <alignment horizontal="center" vertical="center"/>
    </xf>
    <xf numFmtId="0" fontId="1" fillId="4" borderId="73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65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9" fillId="6" borderId="76" xfId="0" applyFont="1" applyFill="1" applyBorder="1" applyAlignment="1">
      <alignment horizontal="center" vertical="center"/>
    </xf>
    <xf numFmtId="0" fontId="9" fillId="6" borderId="77" xfId="0" applyFont="1" applyFill="1" applyBorder="1" applyAlignment="1">
      <alignment horizontal="center" vertical="center"/>
    </xf>
    <xf numFmtId="0" fontId="9" fillId="6" borderId="34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2" fillId="12" borderId="1" xfId="0" applyFont="1" applyFill="1" applyBorder="1" applyAlignment="1">
      <alignment horizontal="center" vertical="center"/>
    </xf>
    <xf numFmtId="0" fontId="12" fillId="12" borderId="11" xfId="0" applyFont="1" applyFill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0" fontId="0" fillId="14" borderId="3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2" fillId="12" borderId="3" xfId="0" applyFont="1" applyFill="1" applyBorder="1" applyAlignment="1">
      <alignment horizontal="center" vertical="center"/>
    </xf>
    <xf numFmtId="0" fontId="12" fillId="12" borderId="8" xfId="0" applyFont="1" applyFill="1" applyBorder="1" applyAlignment="1">
      <alignment horizontal="center" vertical="center"/>
    </xf>
    <xf numFmtId="46" fontId="0" fillId="0" borderId="49" xfId="0" applyNumberFormat="1" applyBorder="1" applyAlignment="1">
      <alignment horizontal="center" vertical="center"/>
    </xf>
    <xf numFmtId="46" fontId="0" fillId="0" borderId="46" xfId="0" applyNumberFormat="1" applyBorder="1" applyAlignment="1">
      <alignment horizontal="center" vertical="center"/>
    </xf>
    <xf numFmtId="46" fontId="0" fillId="0" borderId="33" xfId="0" applyNumberFormat="1" applyBorder="1" applyAlignment="1">
      <alignment horizontal="center" vertical="center"/>
    </xf>
    <xf numFmtId="46" fontId="0" fillId="0" borderId="45" xfId="0" applyNumberFormat="1" applyBorder="1" applyAlignment="1">
      <alignment horizontal="center" vertical="center"/>
    </xf>
    <xf numFmtId="0" fontId="12" fillId="12" borderId="32" xfId="0" applyFont="1" applyFill="1" applyBorder="1" applyAlignment="1">
      <alignment horizontal="center" vertical="center" wrapText="1"/>
    </xf>
    <xf numFmtId="0" fontId="12" fillId="12" borderId="33" xfId="0" applyFont="1" applyFill="1" applyBorder="1" applyAlignment="1">
      <alignment horizontal="center" vertical="center" wrapText="1"/>
    </xf>
    <xf numFmtId="0" fontId="12" fillId="12" borderId="44" xfId="0" applyFont="1" applyFill="1" applyBorder="1" applyAlignment="1">
      <alignment horizontal="center" vertical="center" wrapText="1"/>
    </xf>
    <xf numFmtId="0" fontId="12" fillId="12" borderId="45" xfId="0" applyFont="1" applyFill="1" applyBorder="1" applyAlignment="1">
      <alignment horizontal="center" vertical="center" wrapText="1"/>
    </xf>
    <xf numFmtId="0" fontId="12" fillId="12" borderId="5" xfId="0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1" xfId="0" applyFont="1" applyFill="1" applyBorder="1" applyAlignment="1">
      <alignment horizontal="center"/>
    </xf>
    <xf numFmtId="0" fontId="21" fillId="12" borderId="11" xfId="0" applyFont="1" applyFill="1" applyBorder="1" applyAlignment="1">
      <alignment horizontal="center"/>
    </xf>
    <xf numFmtId="0" fontId="21" fillId="12" borderId="2" xfId="0" applyFont="1" applyFill="1" applyBorder="1" applyAlignment="1">
      <alignment horizontal="center"/>
    </xf>
    <xf numFmtId="0" fontId="12" fillId="12" borderId="4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18" fillId="20" borderId="54" xfId="0" applyFont="1" applyFill="1" applyBorder="1" applyAlignment="1">
      <alignment horizontal="center"/>
    </xf>
    <xf numFmtId="0" fontId="18" fillId="20" borderId="55" xfId="0" applyFont="1" applyFill="1" applyBorder="1" applyAlignment="1">
      <alignment horizontal="center"/>
    </xf>
    <xf numFmtId="0" fontId="18" fillId="20" borderId="56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12" fillId="12" borderId="3" xfId="0" applyFont="1" applyFill="1" applyBorder="1" applyAlignment="1">
      <alignment horizontal="center"/>
    </xf>
    <xf numFmtId="0" fontId="12" fillId="12" borderId="8" xfId="0" applyFont="1" applyFill="1" applyBorder="1" applyAlignment="1">
      <alignment horizontal="center"/>
    </xf>
    <xf numFmtId="0" fontId="12" fillId="12" borderId="4" xfId="0" applyFont="1" applyFill="1" applyBorder="1" applyAlignment="1">
      <alignment horizontal="center"/>
    </xf>
    <xf numFmtId="0" fontId="12" fillId="20" borderId="0" xfId="0" applyFont="1" applyFill="1" applyAlignment="1">
      <alignment horizontal="center"/>
    </xf>
    <xf numFmtId="0" fontId="18" fillId="20" borderId="0" xfId="0" applyFont="1" applyFill="1" applyAlignment="1">
      <alignment horizontal="center"/>
    </xf>
    <xf numFmtId="0" fontId="23" fillId="24" borderId="29" xfId="0" applyFont="1" applyFill="1" applyBorder="1" applyAlignment="1">
      <alignment horizontal="center" vertical="center"/>
    </xf>
    <xf numFmtId="0" fontId="23" fillId="24" borderId="93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 vertical="center"/>
    </xf>
    <xf numFmtId="164" fontId="22" fillId="0" borderId="47" xfId="0" applyNumberFormat="1" applyFont="1" applyBorder="1" applyAlignment="1">
      <alignment horizontal="center" vertical="center"/>
    </xf>
    <xf numFmtId="164" fontId="22" fillId="0" borderId="93" xfId="0" applyNumberFormat="1" applyFont="1" applyBorder="1" applyAlignment="1">
      <alignment horizontal="center" vertical="center"/>
    </xf>
    <xf numFmtId="0" fontId="22" fillId="0" borderId="47" xfId="0" applyFont="1" applyBorder="1" applyAlignment="1">
      <alignment horizontal="center" vertical="center"/>
    </xf>
    <xf numFmtId="0" fontId="22" fillId="0" borderId="93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6" fontId="22" fillId="0" borderId="29" xfId="0" applyNumberFormat="1" applyFont="1" applyBorder="1" applyAlignment="1">
      <alignment horizontal="center" vertical="center"/>
    </xf>
    <xf numFmtId="168" fontId="0" fillId="0" borderId="71" xfId="0" applyNumberFormat="1" applyBorder="1" applyAlignment="1">
      <alignment horizontal="center"/>
    </xf>
    <xf numFmtId="168" fontId="0" fillId="0" borderId="66" xfId="0" applyNumberFormat="1" applyBorder="1" applyAlignment="1">
      <alignment horizontal="center"/>
    </xf>
    <xf numFmtId="168" fontId="0" fillId="0" borderId="72" xfId="0" applyNumberFormat="1" applyBorder="1" applyAlignment="1">
      <alignment horizontal="center"/>
    </xf>
    <xf numFmtId="168" fontId="0" fillId="0" borderId="69" xfId="0" applyNumberFormat="1" applyBorder="1" applyAlignment="1">
      <alignment horizontal="center"/>
    </xf>
    <xf numFmtId="168" fontId="0" fillId="0" borderId="67" xfId="0" applyNumberFormat="1" applyBorder="1" applyAlignment="1">
      <alignment horizontal="center"/>
    </xf>
    <xf numFmtId="168" fontId="0" fillId="0" borderId="70" xfId="0" applyNumberFormat="1" applyBorder="1" applyAlignment="1">
      <alignment horizontal="center"/>
    </xf>
  </cellXfs>
  <cellStyles count="3">
    <cellStyle name="Hiperligação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603849</xdr:colOff>
      <xdr:row>2</xdr:row>
      <xdr:rowOff>86264</xdr:rowOff>
    </xdr:from>
    <xdr:to>
      <xdr:col>4</xdr:col>
      <xdr:colOff>189781</xdr:colOff>
      <xdr:row>7</xdr:row>
      <xdr:rowOff>86263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349E765-289E-C88C-2C53-B1ECE2553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7155" y="810883"/>
          <a:ext cx="2380890" cy="9057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10</xdr:row>
      <xdr:rowOff>172529</xdr:rowOff>
    </xdr:from>
    <xdr:to>
      <xdr:col>11</xdr:col>
      <xdr:colOff>8626</xdr:colOff>
      <xdr:row>15</xdr:row>
      <xdr:rowOff>129396</xdr:rowOff>
    </xdr:to>
    <xdr:sp macro="[0]!Mostr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E56F822-3B83-BC96-DC35-389F74AD2370}"/>
            </a:ext>
          </a:extLst>
        </xdr:cNvPr>
        <xdr:cNvSpPr/>
      </xdr:nvSpPr>
      <xdr:spPr>
        <a:xfrm>
          <a:off x="4658264" y="2467155"/>
          <a:ext cx="3114136" cy="862641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</xdr:col>
      <xdr:colOff>207034</xdr:colOff>
      <xdr:row>11</xdr:row>
      <xdr:rowOff>103517</xdr:rowOff>
    </xdr:from>
    <xdr:to>
      <xdr:col>10</xdr:col>
      <xdr:colOff>422694</xdr:colOff>
      <xdr:row>14</xdr:row>
      <xdr:rowOff>77638</xdr:rowOff>
    </xdr:to>
    <xdr:sp macro="[0]!Module4.Mostra" textlink="">
      <xdr:nvSpPr>
        <xdr:cNvPr id="4" name="CaixaDeTexto 3">
          <a:extLst>
            <a:ext uri="{FF2B5EF4-FFF2-40B4-BE49-F238E27FC236}">
              <a16:creationId xmlns:a16="http://schemas.microsoft.com/office/drawing/2014/main" id="{CAEFC4D3-B6F3-CD81-6AE7-C37C285A450B}"/>
            </a:ext>
          </a:extLst>
        </xdr:cNvPr>
        <xdr:cNvSpPr txBox="1"/>
      </xdr:nvSpPr>
      <xdr:spPr>
        <a:xfrm>
          <a:off x="4865298" y="2579298"/>
          <a:ext cx="2700068" cy="5175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2800" b="1">
              <a:solidFill>
                <a:schemeClr val="bg1"/>
              </a:solidFill>
              <a:latin typeface="+mn-lt"/>
            </a:rPr>
            <a:t>Ferramenta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228600</xdr:colOff>
      <xdr:row>1</xdr:row>
      <xdr:rowOff>101600</xdr:rowOff>
    </xdr:from>
    <xdr:to>
      <xdr:col>20</xdr:col>
      <xdr:colOff>270510</xdr:colOff>
      <xdr:row>3</xdr:row>
      <xdr:rowOff>158559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F1A72E5-1398-4CEB-8EAF-C59084BFD107}"/>
            </a:ext>
          </a:extLst>
        </xdr:cNvPr>
        <xdr:cNvSpPr/>
      </xdr:nvSpPr>
      <xdr:spPr bwMode="auto">
        <a:xfrm>
          <a:off x="16198850" y="285750"/>
          <a:ext cx="1534160" cy="4737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18</xdr:col>
      <xdr:colOff>215900</xdr:colOff>
      <xdr:row>5</xdr:row>
      <xdr:rowOff>38100</xdr:rowOff>
    </xdr:from>
    <xdr:to>
      <xdr:col>20</xdr:col>
      <xdr:colOff>790575</xdr:colOff>
      <xdr:row>7</xdr:row>
      <xdr:rowOff>157288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9ECDCD53-4CA4-4CF7-964F-22CFEA454B79}"/>
            </a:ext>
          </a:extLst>
        </xdr:cNvPr>
        <xdr:cNvSpPr/>
      </xdr:nvSpPr>
      <xdr:spPr bwMode="auto">
        <a:xfrm>
          <a:off x="16186150" y="965200"/>
          <a:ext cx="2066925" cy="5359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60960</xdr:colOff>
      <xdr:row>21</xdr:row>
      <xdr:rowOff>45720</xdr:rowOff>
    </xdr:from>
    <xdr:to>
      <xdr:col>12</xdr:col>
      <xdr:colOff>60960</xdr:colOff>
      <xdr:row>24</xdr:row>
      <xdr:rowOff>53340</xdr:rowOff>
    </xdr:to>
    <xdr:sp macro="[0]!Show" textlink="">
      <xdr:nvSpPr>
        <xdr:cNvPr id="4" name="Retângulo 3">
          <a:extLst>
            <a:ext uri="{FF2B5EF4-FFF2-40B4-BE49-F238E27FC236}">
              <a16:creationId xmlns:a16="http://schemas.microsoft.com/office/drawing/2014/main" id="{8BA5AEEB-E416-463B-862D-61D7F4A8E1F2}"/>
            </a:ext>
          </a:extLst>
        </xdr:cNvPr>
        <xdr:cNvSpPr/>
      </xdr:nvSpPr>
      <xdr:spPr>
        <a:xfrm>
          <a:off x="9448800" y="6012180"/>
          <a:ext cx="2011680" cy="533400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 b="1">
              <a:latin typeface="Arial Nova" panose="020B0504020202020204" pitchFamily="34" charset="0"/>
            </a:rPr>
            <a:t>INICIAR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ia Joao Martins Mota" id="{D64EC2BB-50C2-45D7-912D-DD613BE6534C}" userId="S::1211044@isep.ipp.pt::35a5c453-4765-4667-9e8c-d9a7f088389e" providerId="AD"/>
  <person displayName="Filipa Sousa Neves" id="{3F64BBBD-7CB9-4250-908A-4B20FF92B997}" userId="S::1211249@isep.ipp.pt::f9937884-710c-48df-9279-0bf71f448788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I4" dT="2024-05-23T14:44:06.35" personId="{3F64BBBD-7CB9-4250-908A-4B20FF92B997}" id="{53FC89C6-8346-4C15-8E04-CBB3279636DD}">
    <text xml:space="preserve">Hora mínima para sair. Para chegar as 8 tínhamos de sair às 03:44 que não é permitido
</text>
  </threadedComment>
  <threadedComment ref="E6" dT="2024-05-25T16:07:18.26" personId="{D64EC2BB-50C2-45D7-912D-DD613BE6534C}" id="{FA75F480-EBE2-4EA2-899F-E7ADC903A1A1}">
    <text>Ele aqui não descansa, porque depois vai parar. Se tivesse outra condução a seguir parava 45min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C1FFB-0F09-489D-8766-AAFA2B9363C7}">
  <sheetPr codeName="Folha15"/>
  <dimension ref="C8:K21"/>
  <sheetViews>
    <sheetView tabSelected="1" workbookViewId="0">
      <selection activeCell="M8" sqref="M8"/>
    </sheetView>
  </sheetViews>
  <sheetFormatPr defaultRowHeight="15" x14ac:dyDescent="0.25"/>
  <cols>
    <col min="3" max="3" width="21.42578125" customWidth="1"/>
    <col min="4" max="4" width="10" customWidth="1"/>
  </cols>
  <sheetData>
    <row r="8" spans="3:11" ht="45.75" x14ac:dyDescent="0.65">
      <c r="C8" s="318" t="s">
        <v>0</v>
      </c>
      <c r="D8" s="319"/>
      <c r="E8" s="319"/>
      <c r="F8" s="319"/>
      <c r="G8" s="319"/>
      <c r="H8" s="319"/>
      <c r="I8" s="319"/>
      <c r="J8" s="319"/>
      <c r="K8" s="319"/>
    </row>
    <row r="10" spans="3:11" ht="20.25" x14ac:dyDescent="0.3">
      <c r="C10" s="314" t="s">
        <v>1</v>
      </c>
      <c r="D10" s="314" t="s">
        <v>2</v>
      </c>
    </row>
    <row r="11" spans="3:11" x14ac:dyDescent="0.25">
      <c r="C11" s="312"/>
      <c r="D11" s="312"/>
    </row>
    <row r="12" spans="3:11" x14ac:dyDescent="0.25">
      <c r="C12" s="313" t="s">
        <v>3</v>
      </c>
      <c r="D12" s="312">
        <v>1211539</v>
      </c>
    </row>
    <row r="13" spans="3:11" x14ac:dyDescent="0.25">
      <c r="C13" s="313" t="s">
        <v>4</v>
      </c>
      <c r="D13" s="312">
        <v>1211231</v>
      </c>
    </row>
    <row r="14" spans="3:11" x14ac:dyDescent="0.25">
      <c r="C14" s="313" t="s">
        <v>5</v>
      </c>
      <c r="D14" s="312">
        <v>1211249</v>
      </c>
    </row>
    <row r="15" spans="3:11" x14ac:dyDescent="0.25">
      <c r="C15" s="313" t="s">
        <v>6</v>
      </c>
      <c r="D15" s="312">
        <v>1211044</v>
      </c>
    </row>
    <row r="16" spans="3:11" x14ac:dyDescent="0.25">
      <c r="C16" s="313" t="s">
        <v>7</v>
      </c>
      <c r="D16" s="312">
        <v>1210911</v>
      </c>
    </row>
    <row r="20" spans="3:3" x14ac:dyDescent="0.25">
      <c r="C20" t="s">
        <v>8</v>
      </c>
    </row>
    <row r="21" spans="3:3" x14ac:dyDescent="0.25">
      <c r="C21" t="s">
        <v>9</v>
      </c>
    </row>
  </sheetData>
  <mergeCells count="1">
    <mergeCell ref="C8:K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4ACFC-B994-419A-BD0A-F688E9813671}">
  <sheetPr codeName="Folha1"/>
  <dimension ref="B1:Q17"/>
  <sheetViews>
    <sheetView topLeftCell="O1" zoomScale="91" workbookViewId="0">
      <selection activeCell="Q6" sqref="Q6"/>
    </sheetView>
  </sheetViews>
  <sheetFormatPr defaultRowHeight="15" x14ac:dyDescent="0.25"/>
  <cols>
    <col min="2" max="2" width="10" customWidth="1"/>
    <col min="3" max="3" width="13.42578125" customWidth="1"/>
    <col min="4" max="4" width="21.140625" customWidth="1"/>
    <col min="7" max="7" width="19.42578125" bestFit="1" customWidth="1"/>
    <col min="8" max="9" width="7.140625" customWidth="1"/>
    <col min="10" max="10" width="15.140625" bestFit="1" customWidth="1"/>
    <col min="11" max="12" width="7.140625" bestFit="1" customWidth="1"/>
    <col min="13" max="13" width="2.85546875" customWidth="1"/>
    <col min="14" max="14" width="6.42578125" customWidth="1"/>
    <col min="15" max="15" width="39.85546875" customWidth="1"/>
    <col min="16" max="16" width="26.42578125" customWidth="1"/>
    <col min="17" max="17" width="30.85546875" bestFit="1" customWidth="1"/>
  </cols>
  <sheetData>
    <row r="1" spans="2:17" ht="15.75" thickBot="1" x14ac:dyDescent="0.3"/>
    <row r="2" spans="2:17" ht="16.5" thickTop="1" thickBot="1" x14ac:dyDescent="0.3">
      <c r="B2" s="13" t="s">
        <v>10</v>
      </c>
      <c r="C2" s="13" t="s">
        <v>11</v>
      </c>
      <c r="D2" s="13" t="s">
        <v>12</v>
      </c>
      <c r="G2" s="320" t="s">
        <v>13</v>
      </c>
      <c r="H2" s="328" t="s">
        <v>14</v>
      </c>
      <c r="I2" s="330" t="s">
        <v>15</v>
      </c>
      <c r="J2" s="322" t="s">
        <v>16</v>
      </c>
      <c r="K2" s="324" t="s">
        <v>17</v>
      </c>
      <c r="L2" s="325"/>
      <c r="O2" s="336" t="s">
        <v>18</v>
      </c>
      <c r="P2" s="337"/>
      <c r="Q2" s="338"/>
    </row>
    <row r="3" spans="2:17" ht="15.75" thickBot="1" x14ac:dyDescent="0.3">
      <c r="B3" s="99">
        <v>2</v>
      </c>
      <c r="C3" s="100" t="s">
        <v>19</v>
      </c>
      <c r="D3" s="101">
        <v>3</v>
      </c>
      <c r="G3" s="321"/>
      <c r="H3" s="329"/>
      <c r="I3" s="331"/>
      <c r="J3" s="323"/>
      <c r="K3" s="23" t="s">
        <v>14</v>
      </c>
      <c r="L3" s="24" t="s">
        <v>15</v>
      </c>
      <c r="O3" s="56" t="s">
        <v>20</v>
      </c>
      <c r="P3" s="225" t="s">
        <v>21</v>
      </c>
      <c r="Q3" s="226" t="s">
        <v>22</v>
      </c>
    </row>
    <row r="4" spans="2:17" ht="15.75" thickTop="1" x14ac:dyDescent="0.25">
      <c r="B4" s="21">
        <v>3</v>
      </c>
      <c r="C4" s="17" t="s">
        <v>23</v>
      </c>
      <c r="D4" s="22">
        <v>3</v>
      </c>
      <c r="G4" s="25" t="s">
        <v>24</v>
      </c>
      <c r="H4" s="26">
        <f>30*6</f>
        <v>180</v>
      </c>
      <c r="I4" s="26">
        <f>45*6</f>
        <v>270</v>
      </c>
      <c r="J4" s="26" t="s">
        <v>25</v>
      </c>
      <c r="K4" s="242">
        <v>1</v>
      </c>
      <c r="L4" s="243" t="s">
        <v>26</v>
      </c>
      <c r="O4" s="55" t="s">
        <v>27</v>
      </c>
      <c r="P4" s="326" t="s">
        <v>28</v>
      </c>
      <c r="Q4" s="327"/>
    </row>
    <row r="5" spans="2:17" x14ac:dyDescent="0.25">
      <c r="B5" s="19">
        <v>4</v>
      </c>
      <c r="C5" s="16" t="s">
        <v>29</v>
      </c>
      <c r="D5" s="20">
        <v>10</v>
      </c>
      <c r="G5" s="32" t="s">
        <v>30</v>
      </c>
      <c r="H5" s="33">
        <f>350*6</f>
        <v>2100</v>
      </c>
      <c r="I5" s="33">
        <f>480*6</f>
        <v>2880</v>
      </c>
      <c r="J5" s="33" t="s">
        <v>31</v>
      </c>
      <c r="K5" s="244" t="s">
        <v>32</v>
      </c>
      <c r="L5" s="245" t="s">
        <v>33</v>
      </c>
      <c r="O5" s="55" t="s">
        <v>34</v>
      </c>
      <c r="P5" s="326" t="s">
        <v>35</v>
      </c>
      <c r="Q5" s="327"/>
    </row>
    <row r="6" spans="2:17" x14ac:dyDescent="0.25">
      <c r="B6" s="21">
        <v>5</v>
      </c>
      <c r="C6" s="18" t="s">
        <v>36</v>
      </c>
      <c r="D6" s="22">
        <v>3</v>
      </c>
      <c r="G6" s="27" t="s">
        <v>37</v>
      </c>
      <c r="H6" s="28">
        <f>1800*6</f>
        <v>10800</v>
      </c>
      <c r="I6" s="28">
        <f>2600*6</f>
        <v>15600</v>
      </c>
      <c r="J6" s="28" t="s">
        <v>38</v>
      </c>
      <c r="K6" s="246" t="s">
        <v>39</v>
      </c>
      <c r="L6" s="247" t="s">
        <v>40</v>
      </c>
      <c r="O6" s="55" t="s">
        <v>41</v>
      </c>
      <c r="P6" s="54" t="s">
        <v>42</v>
      </c>
      <c r="Q6" s="150" t="s">
        <v>43</v>
      </c>
    </row>
    <row r="7" spans="2:17" x14ac:dyDescent="0.25">
      <c r="B7" s="19">
        <v>6</v>
      </c>
      <c r="C7" s="16" t="s">
        <v>44</v>
      </c>
      <c r="D7" s="20">
        <v>8</v>
      </c>
      <c r="G7" s="32" t="s">
        <v>45</v>
      </c>
      <c r="H7" s="33">
        <f>950*6</f>
        <v>5700</v>
      </c>
      <c r="I7" s="33">
        <f>1900*6</f>
        <v>11400</v>
      </c>
      <c r="J7" s="33"/>
      <c r="K7" s="33"/>
      <c r="L7" s="34"/>
      <c r="O7" s="55" t="s">
        <v>46</v>
      </c>
      <c r="P7" s="54" t="s">
        <v>47</v>
      </c>
      <c r="Q7" s="150" t="s">
        <v>48</v>
      </c>
    </row>
    <row r="8" spans="2:17" ht="15.75" thickBot="1" x14ac:dyDescent="0.3">
      <c r="B8" s="21">
        <v>7</v>
      </c>
      <c r="C8" s="17" t="s">
        <v>49</v>
      </c>
      <c r="D8" s="22">
        <v>5</v>
      </c>
      <c r="G8" s="29" t="s">
        <v>50</v>
      </c>
      <c r="H8" s="30">
        <f>4500*6</f>
        <v>27000</v>
      </c>
      <c r="I8" s="30">
        <f>4500*6</f>
        <v>27000</v>
      </c>
      <c r="J8" s="30"/>
      <c r="K8" s="30"/>
      <c r="L8" s="31"/>
      <c r="O8" s="55" t="s">
        <v>51</v>
      </c>
      <c r="P8" s="332" t="s">
        <v>52</v>
      </c>
      <c r="Q8" s="333"/>
    </row>
    <row r="9" spans="2:17" ht="15.75" thickTop="1" x14ac:dyDescent="0.25">
      <c r="B9" s="19">
        <v>8</v>
      </c>
      <c r="C9" s="16" t="s">
        <v>53</v>
      </c>
      <c r="D9" s="20">
        <v>4</v>
      </c>
      <c r="O9" s="55" t="s">
        <v>54</v>
      </c>
      <c r="P9" s="332" t="s">
        <v>55</v>
      </c>
      <c r="Q9" s="333"/>
    </row>
    <row r="10" spans="2:17" x14ac:dyDescent="0.25">
      <c r="B10" s="21">
        <v>9</v>
      </c>
      <c r="C10" s="17" t="s">
        <v>56</v>
      </c>
      <c r="D10" s="22">
        <v>4</v>
      </c>
      <c r="O10" s="339" t="s">
        <v>57</v>
      </c>
      <c r="P10" s="54" t="s">
        <v>58</v>
      </c>
      <c r="Q10" s="150" t="s">
        <v>59</v>
      </c>
    </row>
    <row r="11" spans="2:17" x14ac:dyDescent="0.25">
      <c r="B11" s="19">
        <v>10</v>
      </c>
      <c r="C11" s="16" t="s">
        <v>60</v>
      </c>
      <c r="D11" s="20">
        <v>4</v>
      </c>
      <c r="O11" s="339"/>
      <c r="P11" s="54" t="s">
        <v>61</v>
      </c>
      <c r="Q11" s="150" t="s">
        <v>62</v>
      </c>
    </row>
    <row r="12" spans="2:17" x14ac:dyDescent="0.25">
      <c r="B12" s="21">
        <v>11</v>
      </c>
      <c r="C12" s="17" t="s">
        <v>63</v>
      </c>
      <c r="D12" s="22">
        <v>6</v>
      </c>
      <c r="O12" s="342" t="s">
        <v>64</v>
      </c>
      <c r="P12" s="248" t="s">
        <v>43</v>
      </c>
      <c r="Q12" s="249" t="s">
        <v>65</v>
      </c>
    </row>
    <row r="13" spans="2:17" x14ac:dyDescent="0.25">
      <c r="B13" s="19">
        <v>12</v>
      </c>
      <c r="C13" s="16" t="s">
        <v>66</v>
      </c>
      <c r="D13" s="20">
        <v>4</v>
      </c>
      <c r="O13" s="343"/>
      <c r="P13" s="250" t="s">
        <v>67</v>
      </c>
      <c r="Q13" s="251" t="s">
        <v>68</v>
      </c>
    </row>
    <row r="14" spans="2:17" x14ac:dyDescent="0.25">
      <c r="B14" s="21">
        <v>13</v>
      </c>
      <c r="C14" s="17" t="s">
        <v>69</v>
      </c>
      <c r="D14" s="22">
        <v>3</v>
      </c>
      <c r="O14" s="344"/>
      <c r="P14" s="340" t="s">
        <v>70</v>
      </c>
      <c r="Q14" s="341"/>
    </row>
    <row r="15" spans="2:17" x14ac:dyDescent="0.25">
      <c r="B15" s="19">
        <v>14</v>
      </c>
      <c r="C15" s="16" t="s">
        <v>71</v>
      </c>
      <c r="D15" s="20">
        <v>7</v>
      </c>
      <c r="O15" s="57" t="s">
        <v>72</v>
      </c>
      <c r="P15" s="332" t="s">
        <v>73</v>
      </c>
      <c r="Q15" s="333"/>
    </row>
    <row r="16" spans="2:17" ht="15.75" thickBot="1" x14ac:dyDescent="0.3">
      <c r="B16" s="21">
        <v>15</v>
      </c>
      <c r="C16" s="17" t="s">
        <v>74</v>
      </c>
      <c r="D16" s="22">
        <v>7</v>
      </c>
      <c r="O16" s="58" t="s">
        <v>75</v>
      </c>
      <c r="P16" s="334" t="s">
        <v>76</v>
      </c>
      <c r="Q16" s="335"/>
    </row>
    <row r="17" spans="2:4" ht="15.75" thickBot="1" x14ac:dyDescent="0.3">
      <c r="B17" s="102">
        <v>16</v>
      </c>
      <c r="C17" s="103" t="s">
        <v>77</v>
      </c>
      <c r="D17" s="104">
        <v>3</v>
      </c>
    </row>
  </sheetData>
  <mergeCells count="15">
    <mergeCell ref="P15:Q15"/>
    <mergeCell ref="P16:Q16"/>
    <mergeCell ref="O2:Q2"/>
    <mergeCell ref="P9:Q9"/>
    <mergeCell ref="O10:O11"/>
    <mergeCell ref="P5:Q5"/>
    <mergeCell ref="P8:Q8"/>
    <mergeCell ref="P14:Q14"/>
    <mergeCell ref="O12:O14"/>
    <mergeCell ref="G2:G3"/>
    <mergeCell ref="J2:J3"/>
    <mergeCell ref="K2:L2"/>
    <mergeCell ref="P4:Q4"/>
    <mergeCell ref="H2:H3"/>
    <mergeCell ref="I2:I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D46A-E988-44AC-8A49-083CA3D7C9A0}">
  <sheetPr codeName="Folha2"/>
  <dimension ref="B1:F18"/>
  <sheetViews>
    <sheetView topLeftCell="A21" workbookViewId="0">
      <selection activeCell="D3" sqref="D3"/>
    </sheetView>
  </sheetViews>
  <sheetFormatPr defaultRowHeight="15" x14ac:dyDescent="0.25"/>
  <cols>
    <col min="1" max="1" width="14.7109375" customWidth="1"/>
    <col min="2" max="2" width="11" customWidth="1"/>
    <col min="3" max="3" width="14.85546875" style="11" customWidth="1"/>
    <col min="4" max="4" width="51.42578125" bestFit="1" customWidth="1"/>
  </cols>
  <sheetData>
    <row r="1" spans="2:6" ht="15.75" thickBot="1" x14ac:dyDescent="0.3"/>
    <row r="2" spans="2:6" ht="15.75" thickBot="1" x14ac:dyDescent="0.3">
      <c r="B2" s="13" t="s">
        <v>78</v>
      </c>
      <c r="C2" s="13" t="s">
        <v>11</v>
      </c>
      <c r="D2" s="12" t="s">
        <v>79</v>
      </c>
    </row>
    <row r="3" spans="2:6" ht="15.75" thickBot="1" x14ac:dyDescent="0.3">
      <c r="B3" s="93">
        <v>1</v>
      </c>
      <c r="C3" s="94" t="s">
        <v>80</v>
      </c>
      <c r="D3" s="95" t="s">
        <v>81</v>
      </c>
    </row>
    <row r="4" spans="2:6" x14ac:dyDescent="0.25">
      <c r="B4" s="40">
        <v>2</v>
      </c>
      <c r="C4" s="41" t="s">
        <v>19</v>
      </c>
      <c r="D4" s="42" t="s">
        <v>82</v>
      </c>
      <c r="E4" s="35"/>
      <c r="F4" s="36"/>
    </row>
    <row r="5" spans="2:6" x14ac:dyDescent="0.25">
      <c r="B5" s="9">
        <v>3</v>
      </c>
      <c r="C5" s="39" t="s">
        <v>23</v>
      </c>
      <c r="D5" s="43" t="s">
        <v>83</v>
      </c>
      <c r="E5" s="37"/>
      <c r="F5" s="38"/>
    </row>
    <row r="6" spans="2:6" x14ac:dyDescent="0.25">
      <c r="B6" s="10">
        <v>4</v>
      </c>
      <c r="C6" s="15" t="s">
        <v>29</v>
      </c>
      <c r="D6" s="44" t="s">
        <v>84</v>
      </c>
      <c r="E6" s="37"/>
      <c r="F6" s="38"/>
    </row>
    <row r="7" spans="2:6" x14ac:dyDescent="0.25">
      <c r="B7" s="45">
        <v>5</v>
      </c>
      <c r="C7" s="14" t="s">
        <v>36</v>
      </c>
      <c r="D7" s="46" t="s">
        <v>85</v>
      </c>
      <c r="E7" s="35"/>
      <c r="F7" s="36"/>
    </row>
    <row r="8" spans="2:6" x14ac:dyDescent="0.25">
      <c r="B8" s="10">
        <v>6</v>
      </c>
      <c r="C8" s="15" t="s">
        <v>44</v>
      </c>
      <c r="D8" s="44" t="s">
        <v>86</v>
      </c>
      <c r="E8" s="37"/>
      <c r="F8" s="38"/>
    </row>
    <row r="9" spans="2:6" x14ac:dyDescent="0.25">
      <c r="B9" s="45">
        <v>7</v>
      </c>
      <c r="C9" s="14" t="s">
        <v>49</v>
      </c>
      <c r="D9" s="46" t="s">
        <v>87</v>
      </c>
      <c r="E9" s="35"/>
      <c r="F9" s="36"/>
    </row>
    <row r="10" spans="2:6" x14ac:dyDescent="0.25">
      <c r="B10" s="10">
        <v>8</v>
      </c>
      <c r="C10" s="15" t="s">
        <v>53</v>
      </c>
      <c r="D10" s="44" t="s">
        <v>88</v>
      </c>
      <c r="E10" s="37"/>
      <c r="F10" s="38"/>
    </row>
    <row r="11" spans="2:6" x14ac:dyDescent="0.25">
      <c r="B11" s="45">
        <v>9</v>
      </c>
      <c r="C11" s="14" t="s">
        <v>56</v>
      </c>
      <c r="D11" s="46" t="s">
        <v>89</v>
      </c>
      <c r="E11" s="35"/>
      <c r="F11" s="36"/>
    </row>
    <row r="12" spans="2:6" x14ac:dyDescent="0.25">
      <c r="B12" s="10">
        <v>10</v>
      </c>
      <c r="C12" s="15" t="s">
        <v>60</v>
      </c>
      <c r="D12" s="44" t="s">
        <v>90</v>
      </c>
      <c r="E12" s="37"/>
      <c r="F12" s="38"/>
    </row>
    <row r="13" spans="2:6" x14ac:dyDescent="0.25">
      <c r="B13" s="45">
        <v>11</v>
      </c>
      <c r="C13" s="14" t="s">
        <v>63</v>
      </c>
      <c r="D13" s="46" t="s">
        <v>91</v>
      </c>
      <c r="E13" s="35"/>
      <c r="F13" s="36"/>
    </row>
    <row r="14" spans="2:6" x14ac:dyDescent="0.25">
      <c r="B14" s="10">
        <v>12</v>
      </c>
      <c r="C14" s="15" t="s">
        <v>66</v>
      </c>
      <c r="D14" s="44" t="s">
        <v>92</v>
      </c>
      <c r="E14" s="37"/>
      <c r="F14" s="38"/>
    </row>
    <row r="15" spans="2:6" x14ac:dyDescent="0.25">
      <c r="B15" s="45">
        <v>13</v>
      </c>
      <c r="C15" s="14" t="s">
        <v>69</v>
      </c>
      <c r="D15" s="46" t="s">
        <v>93</v>
      </c>
      <c r="E15" s="35"/>
      <c r="F15" s="36"/>
    </row>
    <row r="16" spans="2:6" x14ac:dyDescent="0.25">
      <c r="B16" s="10">
        <v>14</v>
      </c>
      <c r="C16" s="15" t="s">
        <v>71</v>
      </c>
      <c r="D16" s="44" t="s">
        <v>94</v>
      </c>
      <c r="E16" s="37"/>
      <c r="F16" s="38"/>
    </row>
    <row r="17" spans="2:6" x14ac:dyDescent="0.25">
      <c r="B17" s="45">
        <v>15</v>
      </c>
      <c r="C17" s="14" t="s">
        <v>74</v>
      </c>
      <c r="D17" s="46" t="s">
        <v>95</v>
      </c>
      <c r="E17" s="35"/>
      <c r="F17" s="36"/>
    </row>
    <row r="18" spans="2:6" ht="15.75" thickBot="1" x14ac:dyDescent="0.3">
      <c r="B18" s="96">
        <v>16</v>
      </c>
      <c r="C18" s="97" t="s">
        <v>77</v>
      </c>
      <c r="D18" s="98" t="s">
        <v>96</v>
      </c>
      <c r="E18" s="37"/>
      <c r="F18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6670-ED92-4D01-8713-4235ACDFA9FF}">
  <sheetPr codeName="Folha5"/>
  <dimension ref="A1:R39"/>
  <sheetViews>
    <sheetView topLeftCell="A22" workbookViewId="0">
      <selection activeCell="C2" sqref="C2"/>
    </sheetView>
  </sheetViews>
  <sheetFormatPr defaultRowHeight="15" x14ac:dyDescent="0.25"/>
  <cols>
    <col min="1" max="1" width="15.140625" customWidth="1"/>
    <col min="2" max="2" width="9.7109375" customWidth="1"/>
    <col min="3" max="3" width="6.7109375" customWidth="1"/>
    <col min="4" max="4" width="10.140625" customWidth="1"/>
    <col min="5" max="5" width="13.42578125" customWidth="1"/>
    <col min="6" max="6" width="7.140625" customWidth="1"/>
    <col min="7" max="7" width="8.140625" customWidth="1"/>
    <col min="8" max="8" width="8.85546875" customWidth="1"/>
    <col min="10" max="10" width="14.42578125" customWidth="1"/>
    <col min="18" max="18" width="17.42578125" customWidth="1"/>
  </cols>
  <sheetData>
    <row r="1" spans="1:18" x14ac:dyDescent="0.25">
      <c r="A1" s="345" t="s">
        <v>61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</row>
    <row r="2" spans="1:18" x14ac:dyDescent="0.25">
      <c r="A2" s="1"/>
      <c r="B2" s="1" t="s">
        <v>80</v>
      </c>
      <c r="C2" s="1" t="s">
        <v>29</v>
      </c>
      <c r="D2" s="1" t="s">
        <v>19</v>
      </c>
      <c r="E2" s="1" t="s">
        <v>23</v>
      </c>
      <c r="F2" s="1" t="s">
        <v>36</v>
      </c>
      <c r="G2" s="1" t="s">
        <v>44</v>
      </c>
      <c r="H2" s="1" t="s">
        <v>49</v>
      </c>
      <c r="I2" s="1" t="s">
        <v>53</v>
      </c>
      <c r="J2" s="1" t="s">
        <v>56</v>
      </c>
      <c r="K2" s="1" t="s">
        <v>60</v>
      </c>
      <c r="L2" s="1" t="s">
        <v>63</v>
      </c>
      <c r="M2" s="1" t="s">
        <v>66</v>
      </c>
      <c r="N2" s="1" t="s">
        <v>69</v>
      </c>
      <c r="O2" s="1" t="s">
        <v>71</v>
      </c>
      <c r="P2" s="1" t="s">
        <v>74</v>
      </c>
      <c r="Q2" s="1" t="s">
        <v>77</v>
      </c>
      <c r="R2" s="1"/>
    </row>
    <row r="3" spans="1:18" x14ac:dyDescent="0.25">
      <c r="A3" s="1" t="s">
        <v>80</v>
      </c>
      <c r="B3" s="2"/>
      <c r="C3" s="3">
        <v>240.2</v>
      </c>
      <c r="D3" s="4">
        <v>353</v>
      </c>
      <c r="E3" s="4">
        <v>151</v>
      </c>
      <c r="F3" s="4">
        <v>242</v>
      </c>
      <c r="G3" s="4">
        <v>70</v>
      </c>
      <c r="H3" s="4">
        <v>128</v>
      </c>
      <c r="I3" s="4">
        <v>308</v>
      </c>
      <c r="J3" s="4">
        <v>311</v>
      </c>
      <c r="K3" s="4">
        <v>212</v>
      </c>
      <c r="L3" s="4">
        <v>289</v>
      </c>
      <c r="M3" s="4">
        <v>33</v>
      </c>
      <c r="N3" s="4">
        <v>152</v>
      </c>
      <c r="O3" s="4">
        <v>108</v>
      </c>
      <c r="P3" s="4">
        <v>294</v>
      </c>
      <c r="Q3" s="4">
        <v>82</v>
      </c>
      <c r="R3" s="1" t="s">
        <v>80</v>
      </c>
    </row>
    <row r="4" spans="1:18" x14ac:dyDescent="0.25">
      <c r="A4" s="1" t="s">
        <v>29</v>
      </c>
      <c r="B4" s="7"/>
      <c r="C4" s="2"/>
      <c r="D4" s="5">
        <v>141</v>
      </c>
      <c r="E4" s="5">
        <v>255</v>
      </c>
      <c r="F4" s="5">
        <v>195</v>
      </c>
      <c r="G4" s="5">
        <v>309</v>
      </c>
      <c r="H4" s="5">
        <v>114</v>
      </c>
      <c r="I4" s="5">
        <v>90</v>
      </c>
      <c r="J4" s="5">
        <v>68</v>
      </c>
      <c r="K4" s="5">
        <v>123</v>
      </c>
      <c r="L4" s="5">
        <v>47</v>
      </c>
      <c r="M4" s="5">
        <v>279</v>
      </c>
      <c r="N4" s="5">
        <v>397</v>
      </c>
      <c r="O4" s="5">
        <v>341</v>
      </c>
      <c r="P4" s="5">
        <v>549</v>
      </c>
      <c r="Q4" s="5">
        <v>229</v>
      </c>
      <c r="R4" s="1" t="s">
        <v>29</v>
      </c>
    </row>
    <row r="5" spans="1:18" x14ac:dyDescent="0.25">
      <c r="A5" s="1" t="s">
        <v>19</v>
      </c>
      <c r="B5" s="8"/>
      <c r="C5" s="8"/>
      <c r="D5" s="2"/>
      <c r="E5" s="4">
        <v>205</v>
      </c>
      <c r="F5" s="4">
        <v>110</v>
      </c>
      <c r="G5" s="4">
        <v>417</v>
      </c>
      <c r="H5" s="4">
        <v>213</v>
      </c>
      <c r="I5" s="4">
        <v>52</v>
      </c>
      <c r="J5" s="4">
        <v>205</v>
      </c>
      <c r="K5" s="4">
        <v>127</v>
      </c>
      <c r="L5" s="4">
        <v>149</v>
      </c>
      <c r="M5" s="4">
        <v>251</v>
      </c>
      <c r="N5" s="4">
        <v>435</v>
      </c>
      <c r="O5" s="4">
        <v>448</v>
      </c>
      <c r="P5" s="4">
        <v>647</v>
      </c>
      <c r="Q5" s="4">
        <v>218</v>
      </c>
      <c r="R5" s="1" t="s">
        <v>19</v>
      </c>
    </row>
    <row r="6" spans="1:18" x14ac:dyDescent="0.25">
      <c r="A6" s="1" t="s">
        <v>23</v>
      </c>
      <c r="B6" s="8"/>
      <c r="C6" s="8"/>
      <c r="D6" s="8"/>
      <c r="E6" s="2"/>
      <c r="F6" s="5">
        <v>86.5</v>
      </c>
      <c r="G6" s="5">
        <v>211.3</v>
      </c>
      <c r="H6" s="5">
        <v>48</v>
      </c>
      <c r="I6" s="5">
        <v>246.5</v>
      </c>
      <c r="J6" s="5">
        <v>320.3</v>
      </c>
      <c r="K6" s="5">
        <v>158.5</v>
      </c>
      <c r="L6" s="5">
        <v>298.3</v>
      </c>
      <c r="M6" s="5">
        <v>42.3</v>
      </c>
      <c r="N6" s="5">
        <v>42.3</v>
      </c>
      <c r="O6" s="5">
        <v>253</v>
      </c>
      <c r="P6" s="5">
        <v>111.3</v>
      </c>
      <c r="Q6" s="5">
        <v>9.3000000000000007</v>
      </c>
      <c r="R6" s="1" t="s">
        <v>23</v>
      </c>
    </row>
    <row r="7" spans="1:18" x14ac:dyDescent="0.25">
      <c r="A7" s="1" t="s">
        <v>36</v>
      </c>
      <c r="B7" s="8"/>
      <c r="C7" s="8"/>
      <c r="D7" s="8"/>
      <c r="E7" s="8"/>
      <c r="F7" s="2"/>
      <c r="G7" s="3">
        <v>302.2</v>
      </c>
      <c r="H7" s="3">
        <v>99</v>
      </c>
      <c r="I7" s="3">
        <v>151.9</v>
      </c>
      <c r="J7" s="3">
        <v>263</v>
      </c>
      <c r="K7" s="3">
        <v>64</v>
      </c>
      <c r="L7" s="3">
        <v>240</v>
      </c>
      <c r="M7" s="3">
        <v>133.19999999999999</v>
      </c>
      <c r="N7" s="3">
        <v>133.19999999999999</v>
      </c>
      <c r="O7" s="3">
        <v>344.2</v>
      </c>
      <c r="P7" s="3">
        <v>495.2</v>
      </c>
      <c r="Q7" s="3">
        <v>100.2</v>
      </c>
      <c r="R7" s="1" t="s">
        <v>36</v>
      </c>
    </row>
    <row r="8" spans="1:18" x14ac:dyDescent="0.25">
      <c r="A8" s="1" t="s">
        <v>44</v>
      </c>
      <c r="B8" s="8"/>
      <c r="C8" s="8"/>
      <c r="D8" s="8"/>
      <c r="E8" s="8"/>
      <c r="F8" s="7"/>
      <c r="G8" s="2"/>
      <c r="H8" s="5">
        <v>193</v>
      </c>
      <c r="I8" s="5">
        <v>377</v>
      </c>
      <c r="J8" s="5">
        <v>377</v>
      </c>
      <c r="K8" s="5">
        <v>277</v>
      </c>
      <c r="L8" s="5">
        <v>354</v>
      </c>
      <c r="M8" s="5">
        <v>119</v>
      </c>
      <c r="N8" s="5">
        <v>136</v>
      </c>
      <c r="O8" s="5">
        <v>47</v>
      </c>
      <c r="P8" s="5">
        <v>275</v>
      </c>
      <c r="Q8" s="5">
        <v>147</v>
      </c>
      <c r="R8" s="1" t="s">
        <v>44</v>
      </c>
    </row>
    <row r="9" spans="1:18" x14ac:dyDescent="0.25">
      <c r="A9" s="1" t="s">
        <v>49</v>
      </c>
      <c r="B9" s="8"/>
      <c r="C9" s="8"/>
      <c r="D9" s="8"/>
      <c r="E9" s="8"/>
      <c r="F9" s="7"/>
      <c r="G9" s="8"/>
      <c r="H9" s="2"/>
      <c r="I9" s="3">
        <v>175</v>
      </c>
      <c r="J9" s="3">
        <v>181</v>
      </c>
      <c r="K9" s="3">
        <v>75</v>
      </c>
      <c r="L9" s="3">
        <v>148</v>
      </c>
      <c r="M9" s="3">
        <v>167</v>
      </c>
      <c r="N9" s="3">
        <v>288</v>
      </c>
      <c r="O9" s="3">
        <v>200</v>
      </c>
      <c r="P9" s="3">
        <v>439</v>
      </c>
      <c r="Q9" s="3">
        <v>174</v>
      </c>
      <c r="R9" s="1" t="s">
        <v>49</v>
      </c>
    </row>
    <row r="10" spans="1:18" x14ac:dyDescent="0.25">
      <c r="A10" s="1" t="s">
        <v>53</v>
      </c>
      <c r="B10" s="8"/>
      <c r="C10" s="8"/>
      <c r="D10" s="8"/>
      <c r="E10" s="8"/>
      <c r="F10" s="7"/>
      <c r="G10" s="8"/>
      <c r="H10" s="7"/>
      <c r="I10" s="2"/>
      <c r="J10" s="5">
        <v>155</v>
      </c>
      <c r="K10" s="5">
        <v>86</v>
      </c>
      <c r="L10" s="5">
        <v>98</v>
      </c>
      <c r="M10" s="5">
        <v>334</v>
      </c>
      <c r="N10" s="5">
        <v>401</v>
      </c>
      <c r="O10" s="5">
        <v>408</v>
      </c>
      <c r="P10" s="5">
        <v>606</v>
      </c>
      <c r="Q10" s="5">
        <v>260</v>
      </c>
      <c r="R10" s="1" t="s">
        <v>53</v>
      </c>
    </row>
    <row r="11" spans="1:18" x14ac:dyDescent="0.25">
      <c r="A11" s="1" t="s">
        <v>56</v>
      </c>
      <c r="B11" s="8"/>
      <c r="C11" s="8"/>
      <c r="D11" s="8"/>
      <c r="E11" s="8"/>
      <c r="F11" s="7"/>
      <c r="G11" s="8"/>
      <c r="H11" s="7"/>
      <c r="I11" s="8"/>
      <c r="J11" s="2"/>
      <c r="K11" s="3">
        <v>190</v>
      </c>
      <c r="L11" s="3">
        <v>56</v>
      </c>
      <c r="M11" s="3">
        <v>346</v>
      </c>
      <c r="N11" s="3">
        <v>465</v>
      </c>
      <c r="O11" s="3">
        <v>412</v>
      </c>
      <c r="P11" s="3">
        <v>615</v>
      </c>
      <c r="Q11" s="3">
        <v>310</v>
      </c>
      <c r="R11" s="1" t="s">
        <v>56</v>
      </c>
    </row>
    <row r="12" spans="1:18" x14ac:dyDescent="0.25">
      <c r="A12" s="1" t="s">
        <v>60</v>
      </c>
      <c r="B12" s="8"/>
      <c r="C12" s="8"/>
      <c r="D12" s="8"/>
      <c r="E12" s="8"/>
      <c r="F12" s="7"/>
      <c r="G12" s="8"/>
      <c r="H12" s="7"/>
      <c r="I12" s="8"/>
      <c r="J12" s="7"/>
      <c r="K12" s="2"/>
      <c r="L12" s="5">
        <v>172</v>
      </c>
      <c r="M12" s="5">
        <v>248.8</v>
      </c>
      <c r="N12" s="5">
        <v>377.8</v>
      </c>
      <c r="O12" s="5">
        <v>313.8</v>
      </c>
      <c r="P12" s="5">
        <v>515.79999999999995</v>
      </c>
      <c r="Q12" s="5">
        <v>172</v>
      </c>
      <c r="R12" s="1" t="s">
        <v>60</v>
      </c>
    </row>
    <row r="13" spans="1:18" x14ac:dyDescent="0.25">
      <c r="A13" s="1" t="s">
        <v>63</v>
      </c>
      <c r="B13" s="8"/>
      <c r="C13" s="8"/>
      <c r="D13" s="8"/>
      <c r="E13" s="8"/>
      <c r="F13" s="7"/>
      <c r="G13" s="8"/>
      <c r="H13" s="7"/>
      <c r="I13" s="8"/>
      <c r="J13" s="7"/>
      <c r="K13" s="8"/>
      <c r="L13" s="2"/>
      <c r="M13" s="3">
        <v>334.9</v>
      </c>
      <c r="N13" s="3">
        <v>455.9</v>
      </c>
      <c r="O13" s="3">
        <v>392.9</v>
      </c>
      <c r="P13" s="3">
        <v>593.9</v>
      </c>
      <c r="Q13" s="3">
        <v>336.9</v>
      </c>
      <c r="R13" s="1" t="s">
        <v>63</v>
      </c>
    </row>
    <row r="14" spans="1:18" x14ac:dyDescent="0.25">
      <c r="A14" s="1" t="s">
        <v>66</v>
      </c>
      <c r="B14" s="8"/>
      <c r="C14" s="8"/>
      <c r="D14" s="8"/>
      <c r="E14" s="8"/>
      <c r="F14" s="7"/>
      <c r="G14" s="8"/>
      <c r="H14" s="7"/>
      <c r="I14" s="8"/>
      <c r="J14" s="7"/>
      <c r="K14" s="8"/>
      <c r="L14" s="7"/>
      <c r="M14" s="2"/>
      <c r="N14" s="5">
        <v>33</v>
      </c>
      <c r="O14" s="5">
        <v>84</v>
      </c>
      <c r="P14" s="5">
        <v>121</v>
      </c>
      <c r="Q14" s="5">
        <v>33</v>
      </c>
      <c r="R14" s="1" t="s">
        <v>66</v>
      </c>
    </row>
    <row r="15" spans="1:18" x14ac:dyDescent="0.25">
      <c r="A15" s="1" t="s">
        <v>69</v>
      </c>
      <c r="B15" s="8"/>
      <c r="C15" s="8"/>
      <c r="D15" s="8"/>
      <c r="E15" s="8"/>
      <c r="F15" s="7"/>
      <c r="G15" s="8"/>
      <c r="H15" s="7"/>
      <c r="I15" s="8"/>
      <c r="J15" s="7"/>
      <c r="K15" s="8"/>
      <c r="L15" s="7"/>
      <c r="M15" s="8"/>
      <c r="N15" s="2"/>
      <c r="O15" s="3">
        <v>101</v>
      </c>
      <c r="P15" s="3">
        <v>142.4</v>
      </c>
      <c r="Q15" s="3">
        <v>33</v>
      </c>
      <c r="R15" s="1" t="s">
        <v>69</v>
      </c>
    </row>
    <row r="16" spans="1:18" x14ac:dyDescent="0.25">
      <c r="A16" s="1" t="s">
        <v>71</v>
      </c>
      <c r="B16" s="8"/>
      <c r="C16" s="8"/>
      <c r="D16" s="8"/>
      <c r="E16" s="8"/>
      <c r="F16" s="7"/>
      <c r="G16" s="8"/>
      <c r="H16" s="7"/>
      <c r="I16" s="8"/>
      <c r="J16" s="7"/>
      <c r="K16" s="8"/>
      <c r="L16" s="7"/>
      <c r="M16" s="8"/>
      <c r="N16" s="8"/>
      <c r="O16" s="2"/>
      <c r="P16" s="6">
        <v>225</v>
      </c>
      <c r="Q16" s="5">
        <v>128</v>
      </c>
      <c r="R16" s="1" t="s">
        <v>71</v>
      </c>
    </row>
    <row r="17" spans="1:18" x14ac:dyDescent="0.25">
      <c r="A17" s="1" t="s">
        <v>74</v>
      </c>
      <c r="B17" s="8"/>
      <c r="C17" s="8"/>
      <c r="D17" s="8"/>
      <c r="E17" s="8"/>
      <c r="F17" s="7"/>
      <c r="G17" s="8"/>
      <c r="H17" s="7"/>
      <c r="I17" s="8"/>
      <c r="J17" s="7"/>
      <c r="K17" s="8"/>
      <c r="L17" s="7"/>
      <c r="M17" s="8"/>
      <c r="N17" s="7"/>
      <c r="O17" s="7"/>
      <c r="P17" s="2"/>
      <c r="Q17" s="3">
        <v>114</v>
      </c>
      <c r="R17" s="1" t="s">
        <v>74</v>
      </c>
    </row>
    <row r="18" spans="1:18" x14ac:dyDescent="0.25">
      <c r="A18" s="1" t="s">
        <v>77</v>
      </c>
      <c r="B18" s="8"/>
      <c r="C18" s="8"/>
      <c r="D18" s="8"/>
      <c r="E18" s="8"/>
      <c r="F18" s="7"/>
      <c r="G18" s="8"/>
      <c r="H18" s="7"/>
      <c r="I18" s="8"/>
      <c r="J18" s="7"/>
      <c r="K18" s="8"/>
      <c r="L18" s="7"/>
      <c r="M18" s="8"/>
      <c r="N18" s="8"/>
      <c r="O18" s="8"/>
      <c r="P18" s="8"/>
      <c r="Q18" s="2"/>
      <c r="R18" s="1" t="s">
        <v>77</v>
      </c>
    </row>
    <row r="19" spans="1:18" x14ac:dyDescent="0.25">
      <c r="A19" s="1"/>
      <c r="B19" s="1" t="s">
        <v>80</v>
      </c>
      <c r="C19" s="1" t="s">
        <v>29</v>
      </c>
      <c r="D19" s="1" t="s">
        <v>19</v>
      </c>
      <c r="E19" s="1" t="s">
        <v>23</v>
      </c>
      <c r="F19" s="1" t="s">
        <v>36</v>
      </c>
      <c r="G19" s="1" t="s">
        <v>44</v>
      </c>
      <c r="H19" s="1" t="s">
        <v>49</v>
      </c>
      <c r="I19" s="1" t="s">
        <v>53</v>
      </c>
      <c r="J19" s="1" t="s">
        <v>56</v>
      </c>
      <c r="K19" s="1" t="s">
        <v>60</v>
      </c>
      <c r="L19" s="1" t="s">
        <v>63</v>
      </c>
      <c r="M19" s="1" t="s">
        <v>66</v>
      </c>
      <c r="N19" s="1" t="s">
        <v>69</v>
      </c>
      <c r="O19" s="1" t="s">
        <v>71</v>
      </c>
      <c r="P19" s="1" t="s">
        <v>74</v>
      </c>
      <c r="Q19" s="1" t="s">
        <v>77</v>
      </c>
      <c r="R19" s="1"/>
    </row>
    <row r="21" spans="1:18" x14ac:dyDescent="0.25">
      <c r="A21" s="345" t="s">
        <v>97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  <c r="M21" s="345"/>
      <c r="N21" s="345"/>
      <c r="O21" s="345"/>
      <c r="P21" s="345"/>
      <c r="Q21" s="345"/>
      <c r="R21" s="345"/>
    </row>
    <row r="22" spans="1:18" x14ac:dyDescent="0.25">
      <c r="A22" s="1"/>
      <c r="B22" s="1" t="s">
        <v>80</v>
      </c>
      <c r="C22" s="1" t="s">
        <v>29</v>
      </c>
      <c r="D22" s="1" t="s">
        <v>19</v>
      </c>
      <c r="E22" s="1" t="s">
        <v>23</v>
      </c>
      <c r="F22" s="1" t="s">
        <v>36</v>
      </c>
      <c r="G22" s="1" t="s">
        <v>44</v>
      </c>
      <c r="H22" s="1" t="s">
        <v>49</v>
      </c>
      <c r="I22" s="1" t="s">
        <v>53</v>
      </c>
      <c r="J22" s="1" t="s">
        <v>56</v>
      </c>
      <c r="K22" s="1" t="s">
        <v>60</v>
      </c>
      <c r="L22" s="1" t="s">
        <v>63</v>
      </c>
      <c r="M22" s="1" t="s">
        <v>66</v>
      </c>
      <c r="N22" s="1" t="s">
        <v>69</v>
      </c>
      <c r="O22" s="1" t="s">
        <v>71</v>
      </c>
      <c r="P22" s="1" t="s">
        <v>74</v>
      </c>
      <c r="Q22" s="1" t="s">
        <v>77</v>
      </c>
      <c r="R22" s="1"/>
    </row>
    <row r="23" spans="1:18" x14ac:dyDescent="0.25">
      <c r="A23" s="1" t="s">
        <v>80</v>
      </c>
      <c r="B23" s="2"/>
      <c r="C23" s="3">
        <v>10</v>
      </c>
      <c r="D23" s="4">
        <v>8</v>
      </c>
      <c r="E23" s="4">
        <v>6</v>
      </c>
      <c r="F23" s="4">
        <v>9</v>
      </c>
      <c r="G23" s="4">
        <v>8</v>
      </c>
      <c r="H23" s="4">
        <v>12</v>
      </c>
      <c r="I23" s="4">
        <v>8</v>
      </c>
      <c r="J23" s="4">
        <v>7</v>
      </c>
      <c r="K23" s="4">
        <v>11</v>
      </c>
      <c r="L23" s="4">
        <v>8</v>
      </c>
      <c r="M23" s="4">
        <v>90</v>
      </c>
      <c r="N23" s="4">
        <v>54</v>
      </c>
      <c r="O23" s="4">
        <v>9</v>
      </c>
      <c r="P23" s="4">
        <v>13</v>
      </c>
      <c r="Q23" s="4">
        <v>74</v>
      </c>
      <c r="R23" s="1" t="s">
        <v>80</v>
      </c>
    </row>
    <row r="24" spans="1:18" x14ac:dyDescent="0.25">
      <c r="A24" s="1" t="s">
        <v>29</v>
      </c>
      <c r="B24" s="7"/>
      <c r="C24" s="2"/>
      <c r="D24" s="5">
        <v>7</v>
      </c>
      <c r="E24" s="5">
        <v>5</v>
      </c>
      <c r="F24" s="5">
        <v>8</v>
      </c>
      <c r="G24" s="5">
        <v>2</v>
      </c>
      <c r="H24" s="5">
        <v>4</v>
      </c>
      <c r="I24" s="5">
        <v>3</v>
      </c>
      <c r="J24" s="5">
        <v>6</v>
      </c>
      <c r="K24" s="5">
        <v>7</v>
      </c>
      <c r="L24" s="5">
        <v>7</v>
      </c>
      <c r="M24" s="5">
        <v>89</v>
      </c>
      <c r="N24" s="5">
        <v>54</v>
      </c>
      <c r="O24" s="5">
        <v>8</v>
      </c>
      <c r="P24" s="5">
        <v>2</v>
      </c>
      <c r="Q24" s="5">
        <v>66</v>
      </c>
      <c r="R24" s="1" t="s">
        <v>29</v>
      </c>
    </row>
    <row r="25" spans="1:18" x14ac:dyDescent="0.25">
      <c r="A25" s="1" t="s">
        <v>19</v>
      </c>
      <c r="B25" s="8"/>
      <c r="C25" s="8"/>
      <c r="D25" s="2"/>
      <c r="E25" s="4">
        <v>19</v>
      </c>
      <c r="F25" s="4">
        <v>21</v>
      </c>
      <c r="G25" s="4">
        <v>7</v>
      </c>
      <c r="H25" s="4">
        <v>11</v>
      </c>
      <c r="I25" s="4">
        <v>8</v>
      </c>
      <c r="J25" s="4">
        <v>11</v>
      </c>
      <c r="K25" s="4">
        <v>14</v>
      </c>
      <c r="L25" s="4">
        <v>12</v>
      </c>
      <c r="M25" s="4">
        <v>146</v>
      </c>
      <c r="N25" s="4">
        <v>40</v>
      </c>
      <c r="O25" s="4">
        <v>14</v>
      </c>
      <c r="P25" s="4">
        <v>17</v>
      </c>
      <c r="Q25" s="4">
        <v>84</v>
      </c>
      <c r="R25" s="1" t="s">
        <v>19</v>
      </c>
    </row>
    <row r="26" spans="1:18" x14ac:dyDescent="0.25">
      <c r="A26" s="1" t="s">
        <v>23</v>
      </c>
      <c r="B26" s="8"/>
      <c r="C26" s="8"/>
      <c r="D26" s="8"/>
      <c r="E26" s="2"/>
      <c r="F26" s="5">
        <v>12.4</v>
      </c>
      <c r="G26" s="5">
        <v>10</v>
      </c>
      <c r="H26" s="5">
        <v>102</v>
      </c>
      <c r="I26" s="5">
        <v>18</v>
      </c>
      <c r="J26" s="5">
        <v>9</v>
      </c>
      <c r="K26" s="5">
        <v>13</v>
      </c>
      <c r="L26" s="5">
        <v>10</v>
      </c>
      <c r="M26" s="5">
        <v>135</v>
      </c>
      <c r="N26" s="5">
        <v>213</v>
      </c>
      <c r="O26" s="5">
        <v>6</v>
      </c>
      <c r="P26" s="5">
        <v>333</v>
      </c>
      <c r="Q26" s="5">
        <v>73.400000000000006</v>
      </c>
      <c r="R26" s="1" t="s">
        <v>23</v>
      </c>
    </row>
    <row r="27" spans="1:18" x14ac:dyDescent="0.25">
      <c r="A27" s="1" t="s">
        <v>36</v>
      </c>
      <c r="B27" s="8"/>
      <c r="C27" s="8"/>
      <c r="D27" s="8"/>
      <c r="E27" s="8"/>
      <c r="F27" s="2"/>
      <c r="G27" s="3">
        <v>13</v>
      </c>
      <c r="H27" s="3">
        <v>50</v>
      </c>
      <c r="I27" s="3">
        <v>19</v>
      </c>
      <c r="J27" s="3">
        <v>9</v>
      </c>
      <c r="K27" s="3">
        <v>14</v>
      </c>
      <c r="L27" s="3">
        <v>11</v>
      </c>
      <c r="M27" s="3">
        <v>137.80000000000001</v>
      </c>
      <c r="N27" s="3">
        <v>215.8</v>
      </c>
      <c r="O27" s="3">
        <v>8.8000000000000007</v>
      </c>
      <c r="P27" s="3">
        <v>43</v>
      </c>
      <c r="Q27" s="3">
        <v>76</v>
      </c>
      <c r="R27" s="1" t="s">
        <v>36</v>
      </c>
    </row>
    <row r="28" spans="1:18" x14ac:dyDescent="0.25">
      <c r="A28" s="1" t="s">
        <v>44</v>
      </c>
      <c r="B28" s="8"/>
      <c r="C28" s="8"/>
      <c r="D28" s="8"/>
      <c r="E28" s="8"/>
      <c r="F28" s="7"/>
      <c r="G28" s="2"/>
      <c r="H28" s="5">
        <v>11</v>
      </c>
      <c r="I28" s="5">
        <v>3</v>
      </c>
      <c r="J28" s="5">
        <v>5</v>
      </c>
      <c r="K28" s="5">
        <v>10</v>
      </c>
      <c r="L28" s="5">
        <v>7</v>
      </c>
      <c r="M28" s="5">
        <v>15</v>
      </c>
      <c r="N28" s="5">
        <v>42</v>
      </c>
      <c r="O28" s="5">
        <v>3</v>
      </c>
      <c r="P28" s="5">
        <v>3</v>
      </c>
      <c r="Q28" s="5">
        <v>74</v>
      </c>
      <c r="R28" s="1" t="s">
        <v>44</v>
      </c>
    </row>
    <row r="29" spans="1:18" x14ac:dyDescent="0.25">
      <c r="A29" s="1" t="s">
        <v>49</v>
      </c>
      <c r="B29" s="8"/>
      <c r="C29" s="8"/>
      <c r="D29" s="8"/>
      <c r="E29" s="8"/>
      <c r="F29" s="7"/>
      <c r="G29" s="8"/>
      <c r="H29" s="2"/>
      <c r="I29" s="3">
        <v>4</v>
      </c>
      <c r="J29" s="3">
        <v>7</v>
      </c>
      <c r="K29" s="3">
        <v>10</v>
      </c>
      <c r="L29" s="3">
        <v>18</v>
      </c>
      <c r="M29" s="3">
        <v>93</v>
      </c>
      <c r="N29" s="3">
        <v>55</v>
      </c>
      <c r="O29" s="3">
        <v>42</v>
      </c>
      <c r="P29" s="3">
        <v>4</v>
      </c>
      <c r="Q29" s="3">
        <v>11</v>
      </c>
      <c r="R29" s="1" t="s">
        <v>49</v>
      </c>
    </row>
    <row r="30" spans="1:18" x14ac:dyDescent="0.25">
      <c r="A30" s="1" t="s">
        <v>53</v>
      </c>
      <c r="B30" s="8"/>
      <c r="C30" s="8"/>
      <c r="D30" s="8"/>
      <c r="E30" s="8"/>
      <c r="F30" s="7"/>
      <c r="G30" s="8"/>
      <c r="H30" s="7"/>
      <c r="I30" s="2"/>
      <c r="J30" s="5">
        <v>5</v>
      </c>
      <c r="K30" s="5">
        <v>11</v>
      </c>
      <c r="L30" s="5">
        <v>7</v>
      </c>
      <c r="M30" s="5">
        <v>102</v>
      </c>
      <c r="N30" s="5">
        <v>118</v>
      </c>
      <c r="O30" s="5">
        <v>9</v>
      </c>
      <c r="P30" s="5">
        <v>10</v>
      </c>
      <c r="Q30" s="5">
        <v>83</v>
      </c>
      <c r="R30" s="1" t="s">
        <v>53</v>
      </c>
    </row>
    <row r="31" spans="1:18" x14ac:dyDescent="0.25">
      <c r="A31" s="1" t="s">
        <v>56</v>
      </c>
      <c r="B31" s="8"/>
      <c r="C31" s="8"/>
      <c r="D31" s="8"/>
      <c r="E31" s="8"/>
      <c r="F31" s="7"/>
      <c r="G31" s="8"/>
      <c r="H31" s="7"/>
      <c r="I31" s="8"/>
      <c r="J31" s="2"/>
      <c r="K31" s="3">
        <v>9</v>
      </c>
      <c r="L31" s="3">
        <v>6</v>
      </c>
      <c r="M31" s="3">
        <v>93</v>
      </c>
      <c r="N31" s="3">
        <v>56</v>
      </c>
      <c r="O31" s="3">
        <v>7</v>
      </c>
      <c r="P31" s="3">
        <v>5</v>
      </c>
      <c r="Q31" s="3">
        <v>55</v>
      </c>
      <c r="R31" s="1" t="s">
        <v>56</v>
      </c>
    </row>
    <row r="32" spans="1:18" x14ac:dyDescent="0.25">
      <c r="A32" s="1" t="s">
        <v>60</v>
      </c>
      <c r="B32" s="8"/>
      <c r="C32" s="8"/>
      <c r="D32" s="8"/>
      <c r="E32" s="8"/>
      <c r="F32" s="7"/>
      <c r="G32" s="8"/>
      <c r="H32" s="7"/>
      <c r="I32" s="8"/>
      <c r="J32" s="7"/>
      <c r="K32" s="2"/>
      <c r="L32" s="5">
        <v>6</v>
      </c>
      <c r="M32" s="5">
        <v>96.2</v>
      </c>
      <c r="N32" s="5">
        <v>48.2</v>
      </c>
      <c r="O32" s="5">
        <v>11.2</v>
      </c>
      <c r="P32" s="5">
        <v>10.199999999999999</v>
      </c>
      <c r="Q32" s="5">
        <v>76.8</v>
      </c>
      <c r="R32" s="1" t="s">
        <v>60</v>
      </c>
    </row>
    <row r="33" spans="1:18" x14ac:dyDescent="0.25">
      <c r="A33" s="1" t="s">
        <v>63</v>
      </c>
      <c r="B33" s="8"/>
      <c r="C33" s="8"/>
      <c r="D33" s="8"/>
      <c r="E33" s="8"/>
      <c r="F33" s="7"/>
      <c r="G33" s="8"/>
      <c r="H33" s="7"/>
      <c r="I33" s="8"/>
      <c r="J33" s="7"/>
      <c r="K33" s="8"/>
      <c r="L33" s="2"/>
      <c r="M33" s="3">
        <v>83.1</v>
      </c>
      <c r="N33" s="3">
        <v>46.1</v>
      </c>
      <c r="O33" s="3">
        <v>7.1</v>
      </c>
      <c r="P33" s="3">
        <v>8.1</v>
      </c>
      <c r="Q33" s="3">
        <v>9.1</v>
      </c>
      <c r="R33" s="1" t="s">
        <v>63</v>
      </c>
    </row>
    <row r="34" spans="1:18" x14ac:dyDescent="0.25">
      <c r="A34" s="1" t="s">
        <v>66</v>
      </c>
      <c r="B34" s="8"/>
      <c r="C34" s="8"/>
      <c r="D34" s="8"/>
      <c r="E34" s="8"/>
      <c r="F34" s="7"/>
      <c r="G34" s="8"/>
      <c r="H34" s="7"/>
      <c r="I34" s="8"/>
      <c r="J34" s="7"/>
      <c r="K34" s="8"/>
      <c r="L34" s="7"/>
      <c r="M34" s="2"/>
      <c r="N34" s="5">
        <v>48</v>
      </c>
      <c r="O34" s="5">
        <v>14.9</v>
      </c>
      <c r="P34" s="5">
        <v>98</v>
      </c>
      <c r="Q34" s="5">
        <v>71</v>
      </c>
      <c r="R34" s="1" t="s">
        <v>66</v>
      </c>
    </row>
    <row r="35" spans="1:18" x14ac:dyDescent="0.25">
      <c r="A35" s="1" t="s">
        <v>69</v>
      </c>
      <c r="B35" s="8"/>
      <c r="C35" s="8"/>
      <c r="D35" s="8"/>
      <c r="E35" s="8"/>
      <c r="F35" s="7"/>
      <c r="G35" s="8"/>
      <c r="H35" s="7"/>
      <c r="I35" s="8"/>
      <c r="J35" s="7"/>
      <c r="K35" s="8"/>
      <c r="L35" s="7"/>
      <c r="M35" s="8"/>
      <c r="N35" s="2"/>
      <c r="O35" s="3">
        <v>42</v>
      </c>
      <c r="P35" s="3">
        <v>3.6</v>
      </c>
      <c r="Q35" s="3">
        <v>149</v>
      </c>
      <c r="R35" s="1" t="s">
        <v>69</v>
      </c>
    </row>
    <row r="36" spans="1:18" x14ac:dyDescent="0.25">
      <c r="A36" s="1" t="s">
        <v>71</v>
      </c>
      <c r="B36" s="8"/>
      <c r="C36" s="8"/>
      <c r="D36" s="8"/>
      <c r="E36" s="8"/>
      <c r="F36" s="7"/>
      <c r="G36" s="8"/>
      <c r="H36" s="7"/>
      <c r="I36" s="8"/>
      <c r="J36" s="7"/>
      <c r="K36" s="8"/>
      <c r="L36" s="7"/>
      <c r="M36" s="8"/>
      <c r="N36" s="8"/>
      <c r="O36" s="2"/>
      <c r="P36" s="6">
        <v>17</v>
      </c>
      <c r="Q36" s="5">
        <v>65</v>
      </c>
      <c r="R36" s="1" t="s">
        <v>71</v>
      </c>
    </row>
    <row r="37" spans="1:18" x14ac:dyDescent="0.25">
      <c r="A37" s="1" t="s">
        <v>74</v>
      </c>
      <c r="B37" s="8"/>
      <c r="C37" s="8"/>
      <c r="D37" s="8"/>
      <c r="E37" s="8"/>
      <c r="F37" s="7"/>
      <c r="G37" s="8"/>
      <c r="H37" s="7"/>
      <c r="I37" s="8"/>
      <c r="J37" s="7"/>
      <c r="K37" s="8"/>
      <c r="L37" s="7"/>
      <c r="M37" s="8"/>
      <c r="N37" s="7"/>
      <c r="O37" s="7"/>
      <c r="P37" s="2"/>
      <c r="Q37" s="3">
        <v>213</v>
      </c>
      <c r="R37" s="1" t="s">
        <v>74</v>
      </c>
    </row>
    <row r="38" spans="1:18" x14ac:dyDescent="0.25">
      <c r="A38" s="1" t="s">
        <v>77</v>
      </c>
      <c r="B38" s="8"/>
      <c r="C38" s="8"/>
      <c r="D38" s="8"/>
      <c r="E38" s="8"/>
      <c r="F38" s="7"/>
      <c r="G38" s="8"/>
      <c r="H38" s="7"/>
      <c r="I38" s="8"/>
      <c r="J38" s="7"/>
      <c r="K38" s="8"/>
      <c r="L38" s="7"/>
      <c r="M38" s="8"/>
      <c r="N38" s="8"/>
      <c r="O38" s="8"/>
      <c r="P38" s="8"/>
      <c r="Q38" s="2"/>
      <c r="R38" s="1" t="s">
        <v>77</v>
      </c>
    </row>
    <row r="39" spans="1:18" x14ac:dyDescent="0.25">
      <c r="A39" s="1"/>
      <c r="B39" s="1" t="s">
        <v>80</v>
      </c>
      <c r="C39" s="1" t="s">
        <v>29</v>
      </c>
      <c r="D39" s="1" t="s">
        <v>19</v>
      </c>
      <c r="E39" s="1" t="s">
        <v>23</v>
      </c>
      <c r="F39" s="1" t="s">
        <v>36</v>
      </c>
      <c r="G39" s="1" t="s">
        <v>44</v>
      </c>
      <c r="H39" s="1" t="s">
        <v>49</v>
      </c>
      <c r="I39" s="1" t="s">
        <v>53</v>
      </c>
      <c r="J39" s="1" t="s">
        <v>56</v>
      </c>
      <c r="K39" s="1" t="s">
        <v>60</v>
      </c>
      <c r="L39" s="1" t="s">
        <v>63</v>
      </c>
      <c r="M39" s="1" t="s">
        <v>66</v>
      </c>
      <c r="N39" s="1" t="s">
        <v>69</v>
      </c>
      <c r="O39" s="1" t="s">
        <v>71</v>
      </c>
      <c r="P39" s="1" t="s">
        <v>74</v>
      </c>
      <c r="Q39" s="1" t="s">
        <v>77</v>
      </c>
      <c r="R39" s="1"/>
    </row>
  </sheetData>
  <mergeCells count="2">
    <mergeCell ref="A1:R1"/>
    <mergeCell ref="A21:R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3F5-9944-40C6-A7DB-98C706C76604}">
  <sheetPr codeName="Folha3"/>
  <dimension ref="A1:R19"/>
  <sheetViews>
    <sheetView workbookViewId="0">
      <selection activeCell="E3" sqref="E3"/>
    </sheetView>
  </sheetViews>
  <sheetFormatPr defaultRowHeight="15" x14ac:dyDescent="0.25"/>
  <cols>
    <col min="1" max="1" width="14" bestFit="1" customWidth="1"/>
    <col min="5" max="5" width="12.7109375" bestFit="1" customWidth="1"/>
    <col min="10" max="10" width="14" bestFit="1" customWidth="1"/>
    <col min="18" max="18" width="14" bestFit="1" customWidth="1"/>
  </cols>
  <sheetData>
    <row r="1" spans="1:18" x14ac:dyDescent="0.25">
      <c r="A1" s="345" t="s">
        <v>98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</row>
    <row r="2" spans="1:18" x14ac:dyDescent="0.25">
      <c r="A2" s="1"/>
      <c r="B2" s="1" t="s">
        <v>80</v>
      </c>
      <c r="C2" s="1" t="s">
        <v>29</v>
      </c>
      <c r="D2" s="1" t="s">
        <v>19</v>
      </c>
      <c r="E2" s="1" t="s">
        <v>23</v>
      </c>
      <c r="F2" s="1" t="s">
        <v>36</v>
      </c>
      <c r="G2" s="1" t="s">
        <v>44</v>
      </c>
      <c r="H2" s="1" t="s">
        <v>49</v>
      </c>
      <c r="I2" s="1" t="s">
        <v>53</v>
      </c>
      <c r="J2" s="1" t="s">
        <v>56</v>
      </c>
      <c r="K2" s="1" t="s">
        <v>60</v>
      </c>
      <c r="L2" s="1" t="s">
        <v>63</v>
      </c>
      <c r="M2" s="1" t="s">
        <v>66</v>
      </c>
      <c r="N2" s="1" t="s">
        <v>69</v>
      </c>
      <c r="O2" s="1" t="s">
        <v>71</v>
      </c>
      <c r="P2" s="1" t="s">
        <v>74</v>
      </c>
      <c r="Q2" s="1" t="s">
        <v>77</v>
      </c>
      <c r="R2" s="1"/>
    </row>
    <row r="3" spans="1:18" x14ac:dyDescent="0.25">
      <c r="A3" s="1" t="s">
        <v>80</v>
      </c>
      <c r="B3" s="2"/>
      <c r="C3" s="3">
        <v>250</v>
      </c>
      <c r="D3" s="4">
        <v>361</v>
      </c>
      <c r="E3" s="4">
        <v>157</v>
      </c>
      <c r="F3" s="4">
        <v>251</v>
      </c>
      <c r="G3" s="4">
        <v>78</v>
      </c>
      <c r="H3" s="4">
        <v>140</v>
      </c>
      <c r="I3" s="4">
        <v>316</v>
      </c>
      <c r="J3" s="4">
        <v>318</v>
      </c>
      <c r="K3" s="4">
        <v>223</v>
      </c>
      <c r="L3" s="4">
        <v>297</v>
      </c>
      <c r="M3" s="4">
        <v>123</v>
      </c>
      <c r="N3" s="4">
        <v>206</v>
      </c>
      <c r="O3" s="4">
        <v>117</v>
      </c>
      <c r="P3" s="4">
        <v>307</v>
      </c>
      <c r="Q3" s="4">
        <v>156</v>
      </c>
      <c r="R3" s="1" t="s">
        <v>80</v>
      </c>
    </row>
    <row r="4" spans="1:18" x14ac:dyDescent="0.25">
      <c r="A4" s="1" t="s">
        <v>29</v>
      </c>
      <c r="B4" s="7"/>
      <c r="C4" s="2"/>
      <c r="D4" s="5">
        <v>148</v>
      </c>
      <c r="E4" s="5">
        <v>260</v>
      </c>
      <c r="F4" s="5">
        <v>203</v>
      </c>
      <c r="G4" s="5">
        <v>311</v>
      </c>
      <c r="H4" s="5">
        <v>118</v>
      </c>
      <c r="I4" s="5">
        <v>93</v>
      </c>
      <c r="J4" s="5">
        <v>74</v>
      </c>
      <c r="K4" s="5">
        <v>130</v>
      </c>
      <c r="L4" s="5">
        <v>54</v>
      </c>
      <c r="M4" s="5">
        <v>368</v>
      </c>
      <c r="N4" s="5">
        <v>451</v>
      </c>
      <c r="O4" s="5">
        <v>349</v>
      </c>
      <c r="P4" s="5">
        <v>551</v>
      </c>
      <c r="Q4" s="5">
        <v>295</v>
      </c>
      <c r="R4" s="1" t="s">
        <v>29</v>
      </c>
    </row>
    <row r="5" spans="1:18" x14ac:dyDescent="0.25">
      <c r="A5" s="1" t="s">
        <v>19</v>
      </c>
      <c r="B5" s="8"/>
      <c r="C5" s="8"/>
      <c r="D5" s="2"/>
      <c r="E5" s="4">
        <v>224</v>
      </c>
      <c r="F5" s="4">
        <v>131</v>
      </c>
      <c r="G5" s="4">
        <v>424</v>
      </c>
      <c r="H5" s="4">
        <v>224</v>
      </c>
      <c r="I5" s="4">
        <v>60</v>
      </c>
      <c r="J5" s="4">
        <v>216</v>
      </c>
      <c r="K5" s="4">
        <v>141</v>
      </c>
      <c r="L5" s="4">
        <v>161</v>
      </c>
      <c r="M5" s="4">
        <v>397</v>
      </c>
      <c r="N5" s="4">
        <v>475</v>
      </c>
      <c r="O5" s="4">
        <v>462</v>
      </c>
      <c r="P5" s="4">
        <v>664</v>
      </c>
      <c r="Q5" s="4">
        <v>302</v>
      </c>
      <c r="R5" s="1" t="s">
        <v>19</v>
      </c>
    </row>
    <row r="6" spans="1:18" x14ac:dyDescent="0.25">
      <c r="A6" s="1" t="s">
        <v>23</v>
      </c>
      <c r="B6" s="8"/>
      <c r="C6" s="8"/>
      <c r="D6" s="8"/>
      <c r="E6" s="2"/>
      <c r="F6" s="5">
        <v>99.1</v>
      </c>
      <c r="G6" s="5">
        <v>221</v>
      </c>
      <c r="H6" s="5">
        <v>148</v>
      </c>
      <c r="I6" s="5">
        <v>265</v>
      </c>
      <c r="J6" s="5">
        <v>329</v>
      </c>
      <c r="K6" s="5">
        <v>172</v>
      </c>
      <c r="L6" s="5">
        <v>308</v>
      </c>
      <c r="M6" s="5">
        <v>177</v>
      </c>
      <c r="N6" s="5">
        <v>255</v>
      </c>
      <c r="O6" s="5">
        <v>259</v>
      </c>
      <c r="P6" s="5">
        <v>444</v>
      </c>
      <c r="Q6" s="5">
        <v>82.4</v>
      </c>
      <c r="R6" s="1" t="s">
        <v>23</v>
      </c>
    </row>
    <row r="7" spans="1:18" x14ac:dyDescent="0.25">
      <c r="A7" s="1" t="s">
        <v>36</v>
      </c>
      <c r="B7" s="8"/>
      <c r="C7" s="8"/>
      <c r="D7" s="8"/>
      <c r="E7" s="8"/>
      <c r="F7" s="2"/>
      <c r="G7" s="3">
        <v>315</v>
      </c>
      <c r="H7" s="3">
        <v>149</v>
      </c>
      <c r="I7" s="3">
        <v>171</v>
      </c>
      <c r="J7" s="3">
        <v>272</v>
      </c>
      <c r="K7" s="3">
        <v>77.900000000000006</v>
      </c>
      <c r="L7" s="3">
        <v>251</v>
      </c>
      <c r="M7" s="3">
        <v>271</v>
      </c>
      <c r="N7" s="3">
        <v>349</v>
      </c>
      <c r="O7" s="3">
        <v>353</v>
      </c>
      <c r="P7" s="3">
        <v>538</v>
      </c>
      <c r="Q7" s="3">
        <v>176</v>
      </c>
      <c r="R7" s="1" t="s">
        <v>36</v>
      </c>
    </row>
    <row r="8" spans="1:18" x14ac:dyDescent="0.25">
      <c r="A8" s="1" t="s">
        <v>44</v>
      </c>
      <c r="B8" s="8"/>
      <c r="C8" s="8"/>
      <c r="D8" s="8"/>
      <c r="E8" s="8"/>
      <c r="F8" s="7"/>
      <c r="G8" s="2"/>
      <c r="H8" s="5">
        <v>204</v>
      </c>
      <c r="I8" s="5">
        <v>380</v>
      </c>
      <c r="J8" s="5">
        <v>382</v>
      </c>
      <c r="K8" s="5">
        <v>287</v>
      </c>
      <c r="L8" s="5">
        <v>361</v>
      </c>
      <c r="M8" s="5">
        <v>134</v>
      </c>
      <c r="N8" s="5">
        <v>178</v>
      </c>
      <c r="O8" s="5">
        <v>49.5</v>
      </c>
      <c r="P8" s="5">
        <v>278</v>
      </c>
      <c r="Q8" s="5">
        <v>221</v>
      </c>
      <c r="R8" s="1" t="s">
        <v>44</v>
      </c>
    </row>
    <row r="9" spans="1:18" x14ac:dyDescent="0.25">
      <c r="A9" s="1" t="s">
        <v>49</v>
      </c>
      <c r="B9" s="8"/>
      <c r="C9" s="8"/>
      <c r="D9" s="8"/>
      <c r="E9" s="8"/>
      <c r="F9" s="7"/>
      <c r="G9" s="8"/>
      <c r="H9" s="2"/>
      <c r="I9" s="3">
        <v>179</v>
      </c>
      <c r="J9" s="3">
        <v>188</v>
      </c>
      <c r="K9" s="3">
        <v>85</v>
      </c>
      <c r="L9" s="3">
        <v>166</v>
      </c>
      <c r="M9" s="3">
        <v>260</v>
      </c>
      <c r="N9" s="3">
        <v>343</v>
      </c>
      <c r="O9" s="3">
        <v>242</v>
      </c>
      <c r="P9" s="3">
        <v>443</v>
      </c>
      <c r="Q9" s="3">
        <v>185</v>
      </c>
      <c r="R9" s="1" t="s">
        <v>49</v>
      </c>
    </row>
    <row r="10" spans="1:18" x14ac:dyDescent="0.25">
      <c r="A10" s="1" t="s">
        <v>53</v>
      </c>
      <c r="B10" s="8"/>
      <c r="C10" s="8"/>
      <c r="D10" s="8"/>
      <c r="E10" s="8"/>
      <c r="F10" s="7"/>
      <c r="G10" s="8"/>
      <c r="H10" s="7"/>
      <c r="I10" s="2"/>
      <c r="J10" s="5">
        <v>160</v>
      </c>
      <c r="K10" s="5">
        <v>97</v>
      </c>
      <c r="L10" s="5">
        <v>105</v>
      </c>
      <c r="M10" s="5">
        <v>436</v>
      </c>
      <c r="N10" s="5">
        <v>519</v>
      </c>
      <c r="O10" s="5">
        <v>417</v>
      </c>
      <c r="P10" s="5">
        <v>619</v>
      </c>
      <c r="Q10" s="5">
        <v>343</v>
      </c>
      <c r="R10" s="1" t="s">
        <v>53</v>
      </c>
    </row>
    <row r="11" spans="1:18" x14ac:dyDescent="0.25">
      <c r="A11" s="1" t="s">
        <v>56</v>
      </c>
      <c r="B11" s="8"/>
      <c r="C11" s="8"/>
      <c r="D11" s="8"/>
      <c r="E11" s="8"/>
      <c r="F11" s="7"/>
      <c r="G11" s="8"/>
      <c r="H11" s="7"/>
      <c r="I11" s="8"/>
      <c r="J11" s="2"/>
      <c r="K11" s="3">
        <v>199</v>
      </c>
      <c r="L11" s="3">
        <v>62</v>
      </c>
      <c r="M11" s="3">
        <v>439</v>
      </c>
      <c r="N11" s="3">
        <v>521</v>
      </c>
      <c r="O11" s="3">
        <v>419</v>
      </c>
      <c r="P11" s="3">
        <v>620</v>
      </c>
      <c r="Q11" s="3">
        <v>365</v>
      </c>
      <c r="R11" s="1" t="s">
        <v>56</v>
      </c>
    </row>
    <row r="12" spans="1:18" x14ac:dyDescent="0.25">
      <c r="A12" s="1" t="s">
        <v>60</v>
      </c>
      <c r="B12" s="8"/>
      <c r="C12" s="8"/>
      <c r="D12" s="8"/>
      <c r="E12" s="8"/>
      <c r="F12" s="7"/>
      <c r="G12" s="8"/>
      <c r="H12" s="7"/>
      <c r="I12" s="8"/>
      <c r="J12" s="7"/>
      <c r="K12" s="2"/>
      <c r="L12" s="5">
        <v>178</v>
      </c>
      <c r="M12" s="5">
        <v>343</v>
      </c>
      <c r="N12" s="5">
        <v>426</v>
      </c>
      <c r="O12" s="5">
        <v>325</v>
      </c>
      <c r="P12" s="5">
        <v>526</v>
      </c>
      <c r="Q12" s="5">
        <v>249</v>
      </c>
      <c r="R12" s="1" t="s">
        <v>60</v>
      </c>
    </row>
    <row r="13" spans="1:18" x14ac:dyDescent="0.25">
      <c r="A13" s="1" t="s">
        <v>63</v>
      </c>
      <c r="B13" s="8"/>
      <c r="C13" s="8"/>
      <c r="D13" s="8"/>
      <c r="E13" s="8"/>
      <c r="F13" s="7"/>
      <c r="G13" s="8"/>
      <c r="H13" s="7"/>
      <c r="I13" s="8"/>
      <c r="J13" s="7"/>
      <c r="K13" s="8"/>
      <c r="L13" s="2"/>
      <c r="M13" s="3">
        <v>418</v>
      </c>
      <c r="N13" s="3">
        <v>502</v>
      </c>
      <c r="O13" s="3">
        <v>400</v>
      </c>
      <c r="P13" s="3">
        <v>602</v>
      </c>
      <c r="Q13" s="3">
        <v>346</v>
      </c>
      <c r="R13" s="1" t="s">
        <v>63</v>
      </c>
    </row>
    <row r="14" spans="1:18" x14ac:dyDescent="0.25">
      <c r="A14" s="1" t="s">
        <v>66</v>
      </c>
      <c r="B14" s="8"/>
      <c r="C14" s="8"/>
      <c r="D14" s="8"/>
      <c r="E14" s="8"/>
      <c r="F14" s="7"/>
      <c r="G14" s="8"/>
      <c r="H14" s="7"/>
      <c r="I14" s="8"/>
      <c r="J14" s="7"/>
      <c r="K14" s="8"/>
      <c r="L14" s="7"/>
      <c r="M14" s="2"/>
      <c r="N14" s="5">
        <v>80.5</v>
      </c>
      <c r="O14" s="5">
        <v>98.9</v>
      </c>
      <c r="P14" s="5">
        <v>219</v>
      </c>
      <c r="Q14" s="5">
        <v>104</v>
      </c>
      <c r="R14" s="1" t="s">
        <v>66</v>
      </c>
    </row>
    <row r="15" spans="1:18" x14ac:dyDescent="0.25">
      <c r="A15" s="1" t="s">
        <v>69</v>
      </c>
      <c r="B15" s="8"/>
      <c r="C15" s="8"/>
      <c r="D15" s="8"/>
      <c r="E15" s="8"/>
      <c r="F15" s="7"/>
      <c r="G15" s="8"/>
      <c r="H15" s="7"/>
      <c r="I15" s="8"/>
      <c r="J15" s="7"/>
      <c r="K15" s="8"/>
      <c r="L15" s="7"/>
      <c r="M15" s="8"/>
      <c r="N15" s="2"/>
      <c r="O15" s="3">
        <v>143</v>
      </c>
      <c r="P15" s="3">
        <v>146</v>
      </c>
      <c r="Q15" s="3">
        <v>182</v>
      </c>
      <c r="R15" s="1" t="s">
        <v>69</v>
      </c>
    </row>
    <row r="16" spans="1:18" x14ac:dyDescent="0.25">
      <c r="A16" s="1" t="s">
        <v>71</v>
      </c>
      <c r="B16" s="8"/>
      <c r="C16" s="8"/>
      <c r="D16" s="8"/>
      <c r="E16" s="8"/>
      <c r="F16" s="7"/>
      <c r="G16" s="8"/>
      <c r="H16" s="7"/>
      <c r="I16" s="8"/>
      <c r="J16" s="7"/>
      <c r="K16" s="8"/>
      <c r="L16" s="7"/>
      <c r="M16" s="8"/>
      <c r="N16" s="8"/>
      <c r="O16" s="2"/>
      <c r="P16" s="3">
        <v>242</v>
      </c>
      <c r="Q16" s="3">
        <v>193</v>
      </c>
      <c r="R16" s="1" t="s">
        <v>71</v>
      </c>
    </row>
    <row r="17" spans="1:18" x14ac:dyDescent="0.25">
      <c r="A17" s="1" t="s">
        <v>74</v>
      </c>
      <c r="B17" s="8"/>
      <c r="C17" s="8"/>
      <c r="D17" s="8"/>
      <c r="E17" s="8"/>
      <c r="F17" s="7"/>
      <c r="G17" s="8"/>
      <c r="H17" s="7"/>
      <c r="I17" s="8"/>
      <c r="J17" s="7"/>
      <c r="K17" s="8"/>
      <c r="L17" s="7"/>
      <c r="M17" s="8"/>
      <c r="N17" s="7"/>
      <c r="O17" s="7"/>
      <c r="P17" s="2"/>
      <c r="Q17" s="3">
        <v>327</v>
      </c>
      <c r="R17" s="1" t="s">
        <v>74</v>
      </c>
    </row>
    <row r="18" spans="1:18" x14ac:dyDescent="0.25">
      <c r="A18" s="1" t="s">
        <v>77</v>
      </c>
      <c r="B18" s="8"/>
      <c r="C18" s="8"/>
      <c r="D18" s="8"/>
      <c r="E18" s="8"/>
      <c r="F18" s="7"/>
      <c r="G18" s="8"/>
      <c r="H18" s="7"/>
      <c r="I18" s="8"/>
      <c r="J18" s="7"/>
      <c r="K18" s="8"/>
      <c r="L18" s="7"/>
      <c r="M18" s="8"/>
      <c r="N18" s="8"/>
      <c r="O18" s="8"/>
      <c r="P18" s="8"/>
      <c r="Q18" s="2"/>
      <c r="R18" s="1" t="s">
        <v>77</v>
      </c>
    </row>
    <row r="19" spans="1:18" x14ac:dyDescent="0.25">
      <c r="A19" s="1"/>
      <c r="B19" s="1" t="s">
        <v>80</v>
      </c>
      <c r="C19" s="1" t="s">
        <v>29</v>
      </c>
      <c r="D19" s="1" t="s">
        <v>19</v>
      </c>
      <c r="E19" s="1" t="s">
        <v>23</v>
      </c>
      <c r="F19" s="1" t="s">
        <v>36</v>
      </c>
      <c r="G19" s="1" t="s">
        <v>44</v>
      </c>
      <c r="H19" s="1" t="s">
        <v>49</v>
      </c>
      <c r="I19" s="1" t="s">
        <v>53</v>
      </c>
      <c r="J19" s="1" t="s">
        <v>56</v>
      </c>
      <c r="K19" s="1" t="s">
        <v>60</v>
      </c>
      <c r="L19" s="1" t="s">
        <v>63</v>
      </c>
      <c r="M19" s="1" t="s">
        <v>66</v>
      </c>
      <c r="N19" s="1" t="s">
        <v>69</v>
      </c>
      <c r="O19" s="1" t="s">
        <v>71</v>
      </c>
      <c r="P19" s="1" t="s">
        <v>74</v>
      </c>
      <c r="Q19" s="1" t="s">
        <v>77</v>
      </c>
      <c r="R19" s="1"/>
    </row>
  </sheetData>
  <mergeCells count="1">
    <mergeCell ref="A1:R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88BF-70E0-4159-BAC7-CCA7725EFD1F}">
  <sheetPr codeName="Folha4"/>
  <dimension ref="A1:R19"/>
  <sheetViews>
    <sheetView workbookViewId="0">
      <selection activeCell="H32" sqref="H32:H33"/>
    </sheetView>
  </sheetViews>
  <sheetFormatPr defaultRowHeight="15" x14ac:dyDescent="0.25"/>
  <cols>
    <col min="1" max="1" width="14.140625" customWidth="1"/>
    <col min="5" max="5" width="13.5703125" bestFit="1" customWidth="1"/>
    <col min="10" max="10" width="14" bestFit="1" customWidth="1"/>
    <col min="18" max="18" width="14.42578125" customWidth="1"/>
  </cols>
  <sheetData>
    <row r="1" spans="1:18" x14ac:dyDescent="0.25">
      <c r="A1" s="345" t="s">
        <v>99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</row>
    <row r="2" spans="1:18" x14ac:dyDescent="0.25">
      <c r="A2" s="1"/>
      <c r="B2" s="1" t="s">
        <v>80</v>
      </c>
      <c r="C2" s="1" t="s">
        <v>29</v>
      </c>
      <c r="D2" s="1" t="s">
        <v>19</v>
      </c>
      <c r="E2" s="1" t="s">
        <v>23</v>
      </c>
      <c r="F2" s="1" t="s">
        <v>36</v>
      </c>
      <c r="G2" s="1" t="s">
        <v>44</v>
      </c>
      <c r="H2" s="1" t="s">
        <v>49</v>
      </c>
      <c r="I2" s="1" t="s">
        <v>53</v>
      </c>
      <c r="J2" s="1" t="s">
        <v>56</v>
      </c>
      <c r="K2" s="1" t="s">
        <v>60</v>
      </c>
      <c r="L2" s="1" t="s">
        <v>63</v>
      </c>
      <c r="M2" s="1" t="s">
        <v>66</v>
      </c>
      <c r="N2" s="1" t="s">
        <v>69</v>
      </c>
      <c r="O2" s="1" t="s">
        <v>71</v>
      </c>
      <c r="P2" s="1" t="s">
        <v>74</v>
      </c>
      <c r="Q2" s="1" t="s">
        <v>77</v>
      </c>
      <c r="R2" s="1"/>
    </row>
    <row r="3" spans="1:18" x14ac:dyDescent="0.25">
      <c r="A3" s="1" t="s">
        <v>80</v>
      </c>
      <c r="B3" s="47"/>
      <c r="C3" s="48">
        <v>19.399999999999999</v>
      </c>
      <c r="D3" s="49">
        <v>14.55</v>
      </c>
      <c r="E3" s="49">
        <v>7.35</v>
      </c>
      <c r="F3" s="49">
        <v>10.45</v>
      </c>
      <c r="G3" s="49">
        <v>4.05</v>
      </c>
      <c r="H3" s="49">
        <v>11.1</v>
      </c>
      <c r="I3" s="49">
        <v>14.55</v>
      </c>
      <c r="J3" s="49">
        <v>21.8</v>
      </c>
      <c r="K3" s="49">
        <v>11.65</v>
      </c>
      <c r="L3" s="49">
        <v>23</v>
      </c>
      <c r="M3" s="49">
        <v>2.15</v>
      </c>
      <c r="N3" s="49">
        <v>14.3</v>
      </c>
      <c r="O3" s="49">
        <v>10.3</v>
      </c>
      <c r="P3" s="49">
        <v>27.4</v>
      </c>
      <c r="Q3" s="49">
        <v>4.4000000000000004</v>
      </c>
      <c r="R3" s="1" t="s">
        <v>80</v>
      </c>
    </row>
    <row r="4" spans="1:18" x14ac:dyDescent="0.25">
      <c r="A4" s="1" t="s">
        <v>29</v>
      </c>
      <c r="B4" s="50"/>
      <c r="C4" s="47"/>
      <c r="D4" s="51">
        <v>5.6</v>
      </c>
      <c r="E4" s="51">
        <v>11.55</v>
      </c>
      <c r="F4" s="51">
        <v>9.85</v>
      </c>
      <c r="G4" s="51">
        <v>23.45</v>
      </c>
      <c r="H4" s="51">
        <v>7.75</v>
      </c>
      <c r="I4" s="51">
        <v>5.35</v>
      </c>
      <c r="J4" s="51">
        <v>2.4</v>
      </c>
      <c r="K4" s="51">
        <v>7.3</v>
      </c>
      <c r="L4" s="51">
        <v>3.6</v>
      </c>
      <c r="M4" s="51">
        <v>21.55</v>
      </c>
      <c r="N4" s="51">
        <v>33.700000000000003</v>
      </c>
      <c r="O4" s="51">
        <v>25.8</v>
      </c>
      <c r="P4" s="51">
        <v>46.8</v>
      </c>
      <c r="Q4" s="51">
        <v>10.7</v>
      </c>
      <c r="R4" s="1" t="s">
        <v>29</v>
      </c>
    </row>
    <row r="5" spans="1:18" x14ac:dyDescent="0.25">
      <c r="A5" s="1" t="s">
        <v>19</v>
      </c>
      <c r="B5" s="52"/>
      <c r="C5" s="52"/>
      <c r="D5" s="47"/>
      <c r="E5" s="49">
        <v>3.7</v>
      </c>
      <c r="F5" s="49">
        <v>0.6</v>
      </c>
      <c r="G5" s="49">
        <v>18.600000000000001</v>
      </c>
      <c r="H5" s="49">
        <v>2.9</v>
      </c>
      <c r="I5" s="49">
        <v>0</v>
      </c>
      <c r="J5" s="49">
        <v>8.15</v>
      </c>
      <c r="K5" s="49">
        <v>2.9</v>
      </c>
      <c r="L5" s="49">
        <v>6.9</v>
      </c>
      <c r="M5" s="49">
        <v>7.15</v>
      </c>
      <c r="N5" s="49">
        <v>7.15</v>
      </c>
      <c r="O5" s="49">
        <v>20.95</v>
      </c>
      <c r="P5" s="49">
        <v>41.95</v>
      </c>
      <c r="Q5" s="49">
        <v>4.1500000000000004</v>
      </c>
      <c r="R5" s="1" t="s">
        <v>19</v>
      </c>
    </row>
    <row r="6" spans="1:18" x14ac:dyDescent="0.25">
      <c r="A6" s="1" t="s">
        <v>23</v>
      </c>
      <c r="B6" s="52"/>
      <c r="C6" s="52"/>
      <c r="D6" s="52"/>
      <c r="E6" s="47"/>
      <c r="F6" s="51">
        <v>3.1</v>
      </c>
      <c r="G6" s="51">
        <v>11.4</v>
      </c>
      <c r="H6" s="51">
        <v>2.8</v>
      </c>
      <c r="I6" s="51">
        <v>8.5500000000000007</v>
      </c>
      <c r="J6" s="51">
        <v>13.95</v>
      </c>
      <c r="K6" s="51">
        <v>5.65</v>
      </c>
      <c r="L6" s="51">
        <v>15.15</v>
      </c>
      <c r="M6" s="51">
        <v>3.45</v>
      </c>
      <c r="N6" s="51">
        <v>3.45</v>
      </c>
      <c r="O6" s="51">
        <v>13.75</v>
      </c>
      <c r="P6" s="51">
        <v>31.25</v>
      </c>
      <c r="Q6" s="51">
        <v>0.45</v>
      </c>
      <c r="R6" s="1" t="s">
        <v>23</v>
      </c>
    </row>
    <row r="7" spans="1:18" x14ac:dyDescent="0.25">
      <c r="A7" s="1" t="s">
        <v>36</v>
      </c>
      <c r="B7" s="52"/>
      <c r="C7" s="52"/>
      <c r="D7" s="52"/>
      <c r="E7" s="52"/>
      <c r="F7" s="47"/>
      <c r="G7" s="48">
        <v>14.5</v>
      </c>
      <c r="H7" s="48">
        <v>2.2000000000000002</v>
      </c>
      <c r="I7" s="48">
        <v>5.45</v>
      </c>
      <c r="J7" s="48">
        <v>12.25</v>
      </c>
      <c r="K7" s="48">
        <v>2.5499999999999998</v>
      </c>
      <c r="L7" s="48">
        <v>13.45</v>
      </c>
      <c r="M7" s="48">
        <v>6.55</v>
      </c>
      <c r="N7" s="48">
        <v>6.55</v>
      </c>
      <c r="O7" s="48">
        <v>16.850000000000001</v>
      </c>
      <c r="P7" s="48">
        <v>34.35</v>
      </c>
      <c r="Q7" s="48">
        <v>3.55</v>
      </c>
      <c r="R7" s="1" t="s">
        <v>36</v>
      </c>
    </row>
    <row r="8" spans="1:18" x14ac:dyDescent="0.25">
      <c r="A8" s="1" t="s">
        <v>44</v>
      </c>
      <c r="B8" s="52"/>
      <c r="C8" s="52"/>
      <c r="D8" s="52"/>
      <c r="E8" s="52"/>
      <c r="F8" s="50"/>
      <c r="G8" s="47"/>
      <c r="H8" s="51">
        <v>15.15</v>
      </c>
      <c r="I8" s="51">
        <v>18.600000000000001</v>
      </c>
      <c r="J8" s="51">
        <v>25.85</v>
      </c>
      <c r="K8" s="51">
        <v>15.7</v>
      </c>
      <c r="L8" s="51">
        <v>27.05</v>
      </c>
      <c r="M8" s="51">
        <v>8.4</v>
      </c>
      <c r="N8" s="51">
        <v>8.6999999999999993</v>
      </c>
      <c r="O8" s="51">
        <v>2.35</v>
      </c>
      <c r="P8" s="51">
        <v>21.8</v>
      </c>
      <c r="Q8" s="51">
        <v>8.4499999999999993</v>
      </c>
      <c r="R8" s="1" t="s">
        <v>44</v>
      </c>
    </row>
    <row r="9" spans="1:18" x14ac:dyDescent="0.25">
      <c r="A9" s="1" t="s">
        <v>49</v>
      </c>
      <c r="B9" s="52"/>
      <c r="C9" s="52"/>
      <c r="D9" s="52"/>
      <c r="E9" s="52"/>
      <c r="F9" s="50"/>
      <c r="G9" s="52"/>
      <c r="H9" s="47"/>
      <c r="I9" s="48">
        <v>2.9</v>
      </c>
      <c r="J9" s="48">
        <v>10.15</v>
      </c>
      <c r="K9" s="48">
        <v>0</v>
      </c>
      <c r="L9" s="48">
        <v>11.35</v>
      </c>
      <c r="M9" s="48">
        <v>13.25</v>
      </c>
      <c r="N9" s="48">
        <v>25.4</v>
      </c>
      <c r="O9" s="48">
        <v>17.5</v>
      </c>
      <c r="P9" s="48">
        <v>38.5</v>
      </c>
      <c r="Q9" s="48">
        <v>1.95</v>
      </c>
      <c r="R9" s="1" t="s">
        <v>49</v>
      </c>
    </row>
    <row r="10" spans="1:18" x14ac:dyDescent="0.25">
      <c r="A10" s="1" t="s">
        <v>53</v>
      </c>
      <c r="B10" s="52"/>
      <c r="C10" s="52"/>
      <c r="D10" s="52"/>
      <c r="E10" s="52"/>
      <c r="F10" s="50"/>
      <c r="G10" s="52"/>
      <c r="H10" s="50"/>
      <c r="I10" s="47"/>
      <c r="J10" s="51">
        <v>7.9</v>
      </c>
      <c r="K10" s="51">
        <v>1.5</v>
      </c>
      <c r="L10" s="51">
        <v>6.65</v>
      </c>
      <c r="M10" s="51">
        <v>15.3</v>
      </c>
      <c r="N10" s="51">
        <v>27.45</v>
      </c>
      <c r="O10" s="51">
        <v>19.55</v>
      </c>
      <c r="P10" s="51">
        <v>40.549999999999997</v>
      </c>
      <c r="Q10" s="51">
        <v>7.6</v>
      </c>
      <c r="R10" s="1" t="s">
        <v>53</v>
      </c>
    </row>
    <row r="11" spans="1:18" x14ac:dyDescent="0.25">
      <c r="A11" s="1" t="s">
        <v>56</v>
      </c>
      <c r="B11" s="52"/>
      <c r="C11" s="52"/>
      <c r="D11" s="52"/>
      <c r="E11" s="52"/>
      <c r="F11" s="50"/>
      <c r="G11" s="52"/>
      <c r="H11" s="50"/>
      <c r="I11" s="52"/>
      <c r="J11" s="47"/>
      <c r="K11" s="48">
        <v>9.6999999999999993</v>
      </c>
      <c r="L11" s="48">
        <v>4.1500000000000004</v>
      </c>
      <c r="M11" s="48">
        <v>23.95</v>
      </c>
      <c r="N11" s="48">
        <v>36.1</v>
      </c>
      <c r="O11" s="48">
        <v>28.2</v>
      </c>
      <c r="P11" s="48">
        <v>49.2</v>
      </c>
      <c r="Q11" s="48">
        <v>13.1</v>
      </c>
      <c r="R11" s="1" t="s">
        <v>56</v>
      </c>
    </row>
    <row r="12" spans="1:18" x14ac:dyDescent="0.25">
      <c r="A12" s="1" t="s">
        <v>60</v>
      </c>
      <c r="B12" s="52"/>
      <c r="C12" s="52"/>
      <c r="D12" s="52"/>
      <c r="E12" s="52"/>
      <c r="F12" s="50"/>
      <c r="G12" s="52"/>
      <c r="H12" s="50"/>
      <c r="I12" s="52"/>
      <c r="J12" s="50"/>
      <c r="K12" s="47"/>
      <c r="L12" s="51">
        <v>10.9</v>
      </c>
      <c r="M12" s="51">
        <v>13.8</v>
      </c>
      <c r="N12" s="51">
        <v>25.95</v>
      </c>
      <c r="O12" s="51">
        <v>18.05</v>
      </c>
      <c r="P12" s="51">
        <v>39.049999999999997</v>
      </c>
      <c r="Q12" s="51">
        <v>6.1</v>
      </c>
      <c r="R12" s="1" t="s">
        <v>60</v>
      </c>
    </row>
    <row r="13" spans="1:18" x14ac:dyDescent="0.25">
      <c r="A13" s="1" t="s">
        <v>63</v>
      </c>
      <c r="B13" s="52"/>
      <c r="C13" s="52"/>
      <c r="D13" s="52"/>
      <c r="E13" s="52"/>
      <c r="F13" s="50"/>
      <c r="G13" s="52"/>
      <c r="H13" s="50"/>
      <c r="I13" s="52"/>
      <c r="J13" s="50"/>
      <c r="K13" s="52"/>
      <c r="L13" s="47"/>
      <c r="M13" s="48">
        <v>25.15</v>
      </c>
      <c r="N13" s="48">
        <v>37.299999999999997</v>
      </c>
      <c r="O13" s="48">
        <v>29.4</v>
      </c>
      <c r="P13" s="48">
        <v>50.4</v>
      </c>
      <c r="Q13" s="48">
        <v>14.3</v>
      </c>
      <c r="R13" s="1" t="s">
        <v>63</v>
      </c>
    </row>
    <row r="14" spans="1:18" x14ac:dyDescent="0.25">
      <c r="A14" s="1" t="s">
        <v>66</v>
      </c>
      <c r="B14" s="52"/>
      <c r="C14" s="52"/>
      <c r="D14" s="52"/>
      <c r="E14" s="52"/>
      <c r="F14" s="50"/>
      <c r="G14" s="52"/>
      <c r="H14" s="50"/>
      <c r="I14" s="52"/>
      <c r="J14" s="50"/>
      <c r="K14" s="52"/>
      <c r="L14" s="50"/>
      <c r="M14" s="47"/>
      <c r="N14" s="51">
        <v>0</v>
      </c>
      <c r="O14" s="51">
        <v>9</v>
      </c>
      <c r="P14" s="51">
        <v>9.85</v>
      </c>
      <c r="Q14" s="51">
        <v>3</v>
      </c>
      <c r="R14" s="1" t="s">
        <v>66</v>
      </c>
    </row>
    <row r="15" spans="1:18" x14ac:dyDescent="0.25">
      <c r="A15" s="1" t="s">
        <v>69</v>
      </c>
      <c r="B15" s="52"/>
      <c r="C15" s="52"/>
      <c r="D15" s="52"/>
      <c r="E15" s="52"/>
      <c r="F15" s="50"/>
      <c r="G15" s="52"/>
      <c r="H15" s="50"/>
      <c r="I15" s="52"/>
      <c r="J15" s="50"/>
      <c r="K15" s="52"/>
      <c r="L15" s="50"/>
      <c r="M15" s="52"/>
      <c r="N15" s="47"/>
      <c r="O15" s="48">
        <v>9.3000000000000007</v>
      </c>
      <c r="P15" s="48">
        <v>7.1</v>
      </c>
      <c r="Q15" s="48">
        <v>3</v>
      </c>
      <c r="R15" s="1" t="s">
        <v>69</v>
      </c>
    </row>
    <row r="16" spans="1:18" x14ac:dyDescent="0.25">
      <c r="A16" s="1" t="s">
        <v>71</v>
      </c>
      <c r="B16" s="52"/>
      <c r="C16" s="52"/>
      <c r="D16" s="52"/>
      <c r="E16" s="52"/>
      <c r="F16" s="50"/>
      <c r="G16" s="52"/>
      <c r="H16" s="50"/>
      <c r="I16" s="52"/>
      <c r="J16" s="50"/>
      <c r="K16" s="52"/>
      <c r="L16" s="50"/>
      <c r="M16" s="52"/>
      <c r="N16" s="52"/>
      <c r="O16" s="47"/>
      <c r="P16" s="53">
        <v>22.4</v>
      </c>
      <c r="Q16" s="51">
        <v>13.6</v>
      </c>
      <c r="R16" s="1" t="s">
        <v>71</v>
      </c>
    </row>
    <row r="17" spans="1:18" x14ac:dyDescent="0.25">
      <c r="A17" s="1" t="s">
        <v>74</v>
      </c>
      <c r="B17" s="52"/>
      <c r="C17" s="52"/>
      <c r="D17" s="52"/>
      <c r="E17" s="52"/>
      <c r="F17" s="50"/>
      <c r="G17" s="52"/>
      <c r="H17" s="50"/>
      <c r="I17" s="52"/>
      <c r="J17" s="50"/>
      <c r="K17" s="52"/>
      <c r="L17" s="50"/>
      <c r="M17" s="52"/>
      <c r="N17" s="50"/>
      <c r="O17" s="50"/>
      <c r="P17" s="47"/>
      <c r="Q17" s="48">
        <v>10.1</v>
      </c>
      <c r="R17" s="1" t="s">
        <v>74</v>
      </c>
    </row>
    <row r="18" spans="1:18" x14ac:dyDescent="0.25">
      <c r="A18" s="1" t="s">
        <v>77</v>
      </c>
      <c r="B18" s="52"/>
      <c r="C18" s="52"/>
      <c r="D18" s="52"/>
      <c r="E18" s="52"/>
      <c r="F18" s="50"/>
      <c r="G18" s="52"/>
      <c r="H18" s="50"/>
      <c r="I18" s="52"/>
      <c r="J18" s="50"/>
      <c r="K18" s="52"/>
      <c r="L18" s="50"/>
      <c r="M18" s="52"/>
      <c r="N18" s="52"/>
      <c r="O18" s="52"/>
      <c r="P18" s="52"/>
      <c r="Q18" s="47"/>
      <c r="R18" s="1" t="s">
        <v>77</v>
      </c>
    </row>
    <row r="19" spans="1:18" x14ac:dyDescent="0.25">
      <c r="A19" s="1"/>
      <c r="B19" s="1" t="s">
        <v>80</v>
      </c>
      <c r="C19" s="1" t="s">
        <v>29</v>
      </c>
      <c r="D19" s="1" t="s">
        <v>19</v>
      </c>
      <c r="E19" s="1" t="s">
        <v>23</v>
      </c>
      <c r="F19" s="1" t="s">
        <v>36</v>
      </c>
      <c r="G19" s="1" t="s">
        <v>44</v>
      </c>
      <c r="H19" s="1" t="s">
        <v>49</v>
      </c>
      <c r="I19" s="1" t="s">
        <v>53</v>
      </c>
      <c r="J19" s="1" t="s">
        <v>56</v>
      </c>
      <c r="K19" s="1" t="s">
        <v>60</v>
      </c>
      <c r="L19" s="1" t="s">
        <v>63</v>
      </c>
      <c r="M19" s="1" t="s">
        <v>66</v>
      </c>
      <c r="N19" s="1" t="s">
        <v>69</v>
      </c>
      <c r="O19" s="1" t="s">
        <v>71</v>
      </c>
      <c r="P19" s="1" t="s">
        <v>74</v>
      </c>
      <c r="Q19" s="1" t="s">
        <v>77</v>
      </c>
      <c r="R19" s="1"/>
    </row>
  </sheetData>
  <mergeCells count="1">
    <mergeCell ref="A1:R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456F-3607-4CD1-AB28-862298771D4C}">
  <sheetPr codeName="Folha6"/>
  <dimension ref="A1:U39"/>
  <sheetViews>
    <sheetView topLeftCell="C1" workbookViewId="0">
      <selection activeCell="T7" sqref="T7"/>
    </sheetView>
  </sheetViews>
  <sheetFormatPr defaultRowHeight="15" x14ac:dyDescent="0.25"/>
  <cols>
    <col min="1" max="1" width="12.85546875" bestFit="1" customWidth="1"/>
    <col min="5" max="5" width="12.7109375" bestFit="1" customWidth="1"/>
    <col min="10" max="10" width="14" bestFit="1" customWidth="1"/>
    <col min="18" max="18" width="14" bestFit="1" customWidth="1"/>
    <col min="20" max="20" width="16.140625" bestFit="1" customWidth="1"/>
  </cols>
  <sheetData>
    <row r="1" spans="1:21" x14ac:dyDescent="0.25">
      <c r="A1" s="345" t="s">
        <v>100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</row>
    <row r="2" spans="1:21" x14ac:dyDescent="0.25">
      <c r="A2" s="1"/>
      <c r="B2" s="1" t="s">
        <v>80</v>
      </c>
      <c r="C2" s="1" t="s">
        <v>29</v>
      </c>
      <c r="D2" s="1" t="s">
        <v>19</v>
      </c>
      <c r="E2" s="1" t="s">
        <v>23</v>
      </c>
      <c r="F2" s="1" t="s">
        <v>36</v>
      </c>
      <c r="G2" s="1" t="s">
        <v>44</v>
      </c>
      <c r="H2" s="1" t="s">
        <v>49</v>
      </c>
      <c r="I2" s="1" t="s">
        <v>53</v>
      </c>
      <c r="J2" s="1" t="s">
        <v>56</v>
      </c>
      <c r="K2" s="1" t="s">
        <v>60</v>
      </c>
      <c r="L2" s="1" t="s">
        <v>63</v>
      </c>
      <c r="M2" s="1" t="s">
        <v>66</v>
      </c>
      <c r="N2" s="1" t="s">
        <v>69</v>
      </c>
      <c r="O2" s="1" t="s">
        <v>71</v>
      </c>
      <c r="P2" s="1" t="s">
        <v>74</v>
      </c>
      <c r="Q2" s="1" t="s">
        <v>77</v>
      </c>
      <c r="R2" s="1"/>
      <c r="T2" s="175" t="s">
        <v>61</v>
      </c>
      <c r="U2" s="130">
        <v>75</v>
      </c>
    </row>
    <row r="3" spans="1:21" x14ac:dyDescent="0.25">
      <c r="A3" s="1" t="s">
        <v>80</v>
      </c>
      <c r="B3" s="2"/>
      <c r="C3" s="59">
        <f>'Distâncias AE e Nacional'!C3/$U$2+'Distâncias AE e Nacional'!C23/$U$3</f>
        <v>3.4026666666666667</v>
      </c>
      <c r="D3" s="59">
        <f>'Distâncias AE e Nacional'!D3/$U$2+'Distâncias AE e Nacional'!D23/$U$3</f>
        <v>4.8666666666666671</v>
      </c>
      <c r="E3" s="59">
        <f>'Distâncias AE e Nacional'!E3/$U$2+'Distâncias AE e Nacional'!E23/$U$3</f>
        <v>2.1333333333333333</v>
      </c>
      <c r="F3" s="59">
        <f>'Distâncias AE e Nacional'!F3/$U$2+'Distâncias AE e Nacional'!F23/$U$3</f>
        <v>3.4066666666666667</v>
      </c>
      <c r="G3" s="59">
        <f>'Distâncias AE e Nacional'!G3/$U$2+'Distâncias AE e Nacional'!G23/$U$3</f>
        <v>1.0933333333333333</v>
      </c>
      <c r="H3" s="59">
        <f>'Distâncias AE e Nacional'!H3/$U$2+'Distâncias AE e Nacional'!H23/$U$3</f>
        <v>1.9466666666666668</v>
      </c>
      <c r="I3" s="59">
        <f>'Distâncias AE e Nacional'!I3/$U$2+'Distâncias AE e Nacional'!I23/$U$3</f>
        <v>4.2666666666666666</v>
      </c>
      <c r="J3" s="59">
        <f>'Distâncias AE e Nacional'!J3/$U$2+'Distâncias AE e Nacional'!J23/$U$3</f>
        <v>4.2866666666666662</v>
      </c>
      <c r="K3" s="59">
        <f>'Distâncias AE e Nacional'!K3/$U$2+'Distâncias AE e Nacional'!K23/$U$3</f>
        <v>3.0466666666666669</v>
      </c>
      <c r="L3" s="59">
        <f>'Distâncias AE e Nacional'!L3/$U$2+'Distâncias AE e Nacional'!L23/$U$3</f>
        <v>4.0133333333333336</v>
      </c>
      <c r="M3" s="59">
        <f>'Distâncias AE e Nacional'!M3/$U$2+'Distâncias AE e Nacional'!M23/$U$3</f>
        <v>2.2400000000000002</v>
      </c>
      <c r="N3" s="59">
        <f>'Distâncias AE e Nacional'!N3/$U$2+'Distâncias AE e Nacional'!N23/$U$3</f>
        <v>3.1066666666666669</v>
      </c>
      <c r="O3" s="59">
        <f>'Distâncias AE e Nacional'!O3/$U$2+'Distâncias AE e Nacional'!O23/$U$3</f>
        <v>1.6199999999999999</v>
      </c>
      <c r="P3" s="59">
        <f>'Distâncias AE e Nacional'!P3/$U$2+'Distâncias AE e Nacional'!P23/$U$3</f>
        <v>4.18</v>
      </c>
      <c r="Q3" s="59">
        <f>'Distâncias AE e Nacional'!Q3/$U$2+'Distâncias AE e Nacional'!Q23/$U$3</f>
        <v>2.5733333333333333</v>
      </c>
      <c r="R3" s="1" t="s">
        <v>80</v>
      </c>
      <c r="T3" s="176" t="s">
        <v>101</v>
      </c>
      <c r="U3" s="130">
        <v>50</v>
      </c>
    </row>
    <row r="4" spans="1:21" x14ac:dyDescent="0.25">
      <c r="A4" s="1" t="s">
        <v>29</v>
      </c>
      <c r="B4" s="7"/>
      <c r="C4" s="2"/>
      <c r="D4" s="59">
        <f>'Distâncias AE e Nacional'!D4/$U$2+'Distâncias AE e Nacional'!D24/$U$3</f>
        <v>2.02</v>
      </c>
      <c r="E4" s="59">
        <f>'Distâncias AE e Nacional'!E4/$U$2+'Distâncias AE e Nacional'!E24/$U$3</f>
        <v>3.5</v>
      </c>
      <c r="F4" s="59">
        <f>'Distâncias AE e Nacional'!F4/$U$2+'Distâncias AE e Nacional'!F24/$U$3</f>
        <v>2.7600000000000002</v>
      </c>
      <c r="G4" s="59">
        <f>'Distâncias AE e Nacional'!G4/$U$2+'Distâncias AE e Nacional'!G24/$U$3</f>
        <v>4.16</v>
      </c>
      <c r="H4" s="59">
        <f>'Distâncias AE e Nacional'!H4/$U$2+'Distâncias AE e Nacional'!H24/$U$3</f>
        <v>1.6</v>
      </c>
      <c r="I4" s="59">
        <f>'Distâncias AE e Nacional'!I4/$U$2+'Distâncias AE e Nacional'!I24/$U$3</f>
        <v>1.26</v>
      </c>
      <c r="J4" s="59">
        <f>'Distâncias AE e Nacional'!J4/$U$2+'Distâncias AE e Nacional'!J24/$U$3</f>
        <v>1.0266666666666666</v>
      </c>
      <c r="K4" s="59">
        <f>'Distâncias AE e Nacional'!K4/$U$2+'Distâncias AE e Nacional'!K24/$U$3</f>
        <v>1.7799999999999998</v>
      </c>
      <c r="L4" s="59">
        <f>'Distâncias AE e Nacional'!L4/$U$2+'Distâncias AE e Nacional'!L24/$U$3</f>
        <v>0.76666666666666672</v>
      </c>
      <c r="M4" s="59">
        <f>'Distâncias AE e Nacional'!M4/$U$2+'Distâncias AE e Nacional'!M24/$U$3</f>
        <v>5.5</v>
      </c>
      <c r="N4" s="59">
        <f>'Distâncias AE e Nacional'!N4/$U$2+'Distâncias AE e Nacional'!N24/$U$3</f>
        <v>6.3733333333333331</v>
      </c>
      <c r="O4" s="59">
        <f>'Distâncias AE e Nacional'!O4/$U$2+'Distâncias AE e Nacional'!O24/$U$3</f>
        <v>4.706666666666667</v>
      </c>
      <c r="P4" s="59">
        <f>'Distâncias AE e Nacional'!P4/$U$2+'Distâncias AE e Nacional'!P24/$U$3</f>
        <v>7.36</v>
      </c>
      <c r="Q4" s="59">
        <f>'Distâncias AE e Nacional'!Q4/$U$2+'Distâncias AE e Nacional'!Q24/$U$3</f>
        <v>4.3733333333333331</v>
      </c>
      <c r="R4" s="1" t="s">
        <v>29</v>
      </c>
    </row>
    <row r="5" spans="1:21" x14ac:dyDescent="0.25">
      <c r="A5" s="1" t="s">
        <v>19</v>
      </c>
      <c r="B5" s="8"/>
      <c r="C5" s="8"/>
      <c r="D5" s="2"/>
      <c r="E5" s="59">
        <f>'Distâncias AE e Nacional'!E5/$U$2+'Distâncias AE e Nacional'!E25/$U$3</f>
        <v>3.1133333333333333</v>
      </c>
      <c r="F5" s="59">
        <f>'Distâncias AE e Nacional'!F5/$U$2+'Distâncias AE e Nacional'!F25/$U$3</f>
        <v>1.8866666666666665</v>
      </c>
      <c r="G5" s="59">
        <f>'Distâncias AE e Nacional'!G5/$U$2+'Distâncias AE e Nacional'!G25/$U$3</f>
        <v>5.6999999999999993</v>
      </c>
      <c r="H5" s="59">
        <f>'Distâncias AE e Nacional'!H5/$U$2+'Distâncias AE e Nacional'!H25/$U$3</f>
        <v>3.06</v>
      </c>
      <c r="I5" s="59">
        <f>'Distâncias AE e Nacional'!I5/$U$2+'Distâncias AE e Nacional'!I25/$U$3</f>
        <v>0.85333333333333339</v>
      </c>
      <c r="J5" s="59">
        <f>'Distâncias AE e Nacional'!J5/$U$2+'Distâncias AE e Nacional'!J25/$U$3</f>
        <v>2.9533333333333336</v>
      </c>
      <c r="K5" s="59">
        <f>'Distâncias AE e Nacional'!K5/$U$2+'Distâncias AE e Nacional'!K25/$U$3</f>
        <v>1.9733333333333334</v>
      </c>
      <c r="L5" s="59">
        <f>'Distâncias AE e Nacional'!L5/$U$2+'Distâncias AE e Nacional'!L25/$U$3</f>
        <v>2.2266666666666666</v>
      </c>
      <c r="M5" s="59">
        <f>'Distâncias AE e Nacional'!M5/$U$2+'Distâncias AE e Nacional'!M25/$U$3</f>
        <v>6.2666666666666666</v>
      </c>
      <c r="N5" s="59">
        <f>'Distâncias AE e Nacional'!N5/$U$2+'Distâncias AE e Nacional'!N25/$U$3</f>
        <v>6.6</v>
      </c>
      <c r="O5" s="59">
        <f>'Distâncias AE e Nacional'!O5/$U$2+'Distâncias AE e Nacional'!O25/$U$3</f>
        <v>6.2533333333333339</v>
      </c>
      <c r="P5" s="59">
        <f>'Distâncias AE e Nacional'!P5/$U$2+'Distâncias AE e Nacional'!P25/$U$3</f>
        <v>8.9666666666666668</v>
      </c>
      <c r="Q5" s="59">
        <f>'Distâncias AE e Nacional'!Q5/$U$2+'Distâncias AE e Nacional'!Q25/$U$3</f>
        <v>4.5866666666666669</v>
      </c>
      <c r="R5" s="1" t="s">
        <v>19</v>
      </c>
    </row>
    <row r="6" spans="1:21" x14ac:dyDescent="0.25">
      <c r="A6" s="1" t="s">
        <v>23</v>
      </c>
      <c r="B6" s="8"/>
      <c r="C6" s="8"/>
      <c r="D6" s="8"/>
      <c r="E6" s="2"/>
      <c r="F6" s="59">
        <f>'Distâncias AE e Nacional'!F6/$U$2+'Distâncias AE e Nacional'!F26/$U$3</f>
        <v>1.4013333333333333</v>
      </c>
      <c r="G6" s="59">
        <f>'Distâncias AE e Nacional'!G6/$U$2+'Distâncias AE e Nacional'!G26/$U$3</f>
        <v>3.0173333333333336</v>
      </c>
      <c r="H6" s="59">
        <f>'Distâncias AE e Nacional'!H6/$U$2+'Distâncias AE e Nacional'!H26/$U$3</f>
        <v>2.68</v>
      </c>
      <c r="I6" s="59">
        <f>'Distâncias AE e Nacional'!I6/$U$2+'Distâncias AE e Nacional'!I26/$U$3</f>
        <v>3.6466666666666665</v>
      </c>
      <c r="J6" s="59">
        <f>'Distâncias AE e Nacional'!J6/$U$2+'Distâncias AE e Nacional'!J26/$U$3</f>
        <v>4.4506666666666668</v>
      </c>
      <c r="K6" s="59">
        <f>'Distâncias AE e Nacional'!K6/$U$2+'Distâncias AE e Nacional'!K26/$U$3</f>
        <v>2.3733333333333331</v>
      </c>
      <c r="L6" s="59">
        <f>'Distâncias AE e Nacional'!L6/$U$2+'Distâncias AE e Nacional'!L26/$U$3</f>
        <v>4.1773333333333333</v>
      </c>
      <c r="M6" s="59">
        <f>'Distâncias AE e Nacional'!M6/$U$2+'Distâncias AE e Nacional'!M26/$U$3</f>
        <v>3.2640000000000002</v>
      </c>
      <c r="N6" s="59">
        <f>'Distâncias AE e Nacional'!N6/$U$2+'Distâncias AE e Nacional'!N26/$U$3</f>
        <v>4.8239999999999998</v>
      </c>
      <c r="O6" s="59">
        <f>'Distâncias AE e Nacional'!O6/$U$2+'Distâncias AE e Nacional'!O26/$U$3</f>
        <v>3.4933333333333336</v>
      </c>
      <c r="P6" s="59">
        <f>'Distâncias AE e Nacional'!P6/$U$2+'Distâncias AE e Nacional'!P26/$U$3</f>
        <v>8.1440000000000001</v>
      </c>
      <c r="Q6" s="59">
        <f>'Distâncias AE e Nacional'!Q6/$U$2+'Distâncias AE e Nacional'!Q26/$U$3</f>
        <v>1.5920000000000003</v>
      </c>
      <c r="R6" s="1" t="s">
        <v>23</v>
      </c>
    </row>
    <row r="7" spans="1:21" x14ac:dyDescent="0.25">
      <c r="A7" s="1" t="s">
        <v>36</v>
      </c>
      <c r="B7" s="8"/>
      <c r="C7" s="8"/>
      <c r="D7" s="8"/>
      <c r="E7" s="8"/>
      <c r="F7" s="2"/>
      <c r="G7" s="59">
        <f>'Distâncias AE e Nacional'!G7/$U$2+'Distâncias AE e Nacional'!G27/$U$3</f>
        <v>4.2893333333333326</v>
      </c>
      <c r="H7" s="59">
        <f>'Distâncias AE e Nacional'!H7/$U$2+'Distâncias AE e Nacional'!H27/$U$3</f>
        <v>2.3200000000000003</v>
      </c>
      <c r="I7" s="59">
        <f>'Distâncias AE e Nacional'!I7/$U$2+'Distâncias AE e Nacional'!I27/$U$3</f>
        <v>2.4053333333333331</v>
      </c>
      <c r="J7" s="59">
        <f>'Distâncias AE e Nacional'!J7/$U$2+'Distâncias AE e Nacional'!J27/$U$3</f>
        <v>3.686666666666667</v>
      </c>
      <c r="K7" s="59">
        <f>'Distâncias AE e Nacional'!K7/$U$2+'Distâncias AE e Nacional'!K27/$U$3</f>
        <v>1.1333333333333333</v>
      </c>
      <c r="L7" s="59">
        <f>'Distâncias AE e Nacional'!L7/$U$2+'Distâncias AE e Nacional'!L27/$U$3</f>
        <v>3.4200000000000004</v>
      </c>
      <c r="M7" s="59">
        <f>'Distâncias AE e Nacional'!M7/$U$2+'Distâncias AE e Nacional'!M27/$U$3</f>
        <v>4.532</v>
      </c>
      <c r="N7" s="59">
        <f>'Distâncias AE e Nacional'!N7/$U$2+'Distâncias AE e Nacional'!N27/$U$3</f>
        <v>6.0919999999999996</v>
      </c>
      <c r="O7" s="59">
        <f>'Distâncias AE e Nacional'!O7/$U$2+'Distâncias AE e Nacional'!O27/$U$3</f>
        <v>4.7653333333333334</v>
      </c>
      <c r="P7" s="59">
        <f>'Distâncias AE e Nacional'!P7/$U$2+'Distâncias AE e Nacional'!P27/$U$3</f>
        <v>7.4626666666666672</v>
      </c>
      <c r="Q7" s="59">
        <f>'Distâncias AE e Nacional'!Q7/$U$2+'Distâncias AE e Nacional'!Q27/$U$3</f>
        <v>2.8559999999999999</v>
      </c>
      <c r="R7" s="1" t="s">
        <v>36</v>
      </c>
    </row>
    <row r="8" spans="1:21" x14ac:dyDescent="0.25">
      <c r="A8" s="1" t="s">
        <v>44</v>
      </c>
      <c r="B8" s="8"/>
      <c r="C8" s="8"/>
      <c r="D8" s="8"/>
      <c r="E8" s="8"/>
      <c r="F8" s="7"/>
      <c r="G8" s="2"/>
      <c r="H8" s="59">
        <f>'Distâncias AE e Nacional'!H8/$U$2+'Distâncias AE e Nacional'!H28/$U$3</f>
        <v>2.7933333333333334</v>
      </c>
      <c r="I8" s="59">
        <f>'Distâncias AE e Nacional'!I8/$U$2+'Distâncias AE e Nacional'!I28/$U$3</f>
        <v>5.086666666666666</v>
      </c>
      <c r="J8" s="59">
        <f>'Distâncias AE e Nacional'!J8/$U$2+'Distâncias AE e Nacional'!J28/$U$3</f>
        <v>5.126666666666666</v>
      </c>
      <c r="K8" s="59">
        <f>'Distâncias AE e Nacional'!K8/$U$2+'Distâncias AE e Nacional'!K28/$U$3</f>
        <v>3.8933333333333335</v>
      </c>
      <c r="L8" s="59">
        <f>'Distâncias AE e Nacional'!L8/$U$2+'Distâncias AE e Nacional'!L28/$U$3</f>
        <v>4.8599999999999994</v>
      </c>
      <c r="M8" s="59">
        <f>'Distâncias AE e Nacional'!M8/$U$2+'Distâncias AE e Nacional'!M28/$U$3</f>
        <v>1.8866666666666667</v>
      </c>
      <c r="N8" s="59">
        <f>'Distâncias AE e Nacional'!N8/$U$2+'Distâncias AE e Nacional'!N28/$U$3</f>
        <v>2.6533333333333333</v>
      </c>
      <c r="O8" s="59">
        <f>'Distâncias AE e Nacional'!O8/$U$2+'Distâncias AE e Nacional'!O28/$U$3</f>
        <v>0.68666666666666676</v>
      </c>
      <c r="P8" s="59">
        <f>'Distâncias AE e Nacional'!P8/$U$2+'Distâncias AE e Nacional'!P28/$U$3</f>
        <v>3.7266666666666666</v>
      </c>
      <c r="Q8" s="59">
        <f>'Distâncias AE e Nacional'!Q8/$U$2+'Distâncias AE e Nacional'!Q28/$U$3</f>
        <v>3.44</v>
      </c>
      <c r="R8" s="1" t="s">
        <v>44</v>
      </c>
    </row>
    <row r="9" spans="1:21" x14ac:dyDescent="0.25">
      <c r="A9" s="1" t="s">
        <v>49</v>
      </c>
      <c r="B9" s="8"/>
      <c r="C9" s="8"/>
      <c r="D9" s="8"/>
      <c r="E9" s="8"/>
      <c r="F9" s="7"/>
      <c r="G9" s="8"/>
      <c r="H9" s="2"/>
      <c r="I9" s="59">
        <f>'Distâncias AE e Nacional'!I9/$U$2+'Distâncias AE e Nacional'!I29/$U$3</f>
        <v>2.4133333333333336</v>
      </c>
      <c r="J9" s="59">
        <f>'Distâncias AE e Nacional'!J9/$U$2+'Distâncias AE e Nacional'!J29/$U$3</f>
        <v>2.5533333333333337</v>
      </c>
      <c r="K9" s="59">
        <f>'Distâncias AE e Nacional'!K9/$U$2+'Distâncias AE e Nacional'!K29/$U$3</f>
        <v>1.2</v>
      </c>
      <c r="L9" s="59">
        <f>'Distâncias AE e Nacional'!L9/$U$2+'Distâncias AE e Nacional'!L29/$U$3</f>
        <v>2.3333333333333335</v>
      </c>
      <c r="M9" s="59">
        <f>'Distâncias AE e Nacional'!M9/$U$2+'Distâncias AE e Nacional'!M29/$U$3</f>
        <v>4.0866666666666669</v>
      </c>
      <c r="N9" s="59">
        <f>'Distâncias AE e Nacional'!N9/$U$2+'Distâncias AE e Nacional'!N29/$U$3</f>
        <v>4.9399999999999995</v>
      </c>
      <c r="O9" s="59">
        <f>'Distâncias AE e Nacional'!O9/$U$2+'Distâncias AE e Nacional'!O29/$U$3</f>
        <v>3.5066666666666664</v>
      </c>
      <c r="P9" s="59">
        <f>'Distâncias AE e Nacional'!P9/$U$2+'Distâncias AE e Nacional'!P29/$U$3</f>
        <v>5.9333333333333336</v>
      </c>
      <c r="Q9" s="59">
        <f>'Distâncias AE e Nacional'!Q9/$U$2+'Distâncias AE e Nacional'!Q29/$U$3</f>
        <v>2.54</v>
      </c>
      <c r="R9" s="1" t="s">
        <v>49</v>
      </c>
    </row>
    <row r="10" spans="1:21" x14ac:dyDescent="0.25">
      <c r="A10" s="1" t="s">
        <v>53</v>
      </c>
      <c r="B10" s="8"/>
      <c r="C10" s="8"/>
      <c r="D10" s="8"/>
      <c r="E10" s="8"/>
      <c r="F10" s="7"/>
      <c r="G10" s="8"/>
      <c r="H10" s="7"/>
      <c r="I10" s="2"/>
      <c r="J10" s="59">
        <f>'Distâncias AE e Nacional'!J10/$U$2+'Distâncias AE e Nacional'!J30/$U$3</f>
        <v>2.166666666666667</v>
      </c>
      <c r="K10" s="59">
        <f>'Distâncias AE e Nacional'!K10/$U$2+'Distâncias AE e Nacional'!K30/$U$3</f>
        <v>1.3666666666666667</v>
      </c>
      <c r="L10" s="59">
        <f>'Distâncias AE e Nacional'!L10/$U$2+'Distâncias AE e Nacional'!L30/$U$3</f>
        <v>1.4466666666666668</v>
      </c>
      <c r="M10" s="59">
        <f>'Distâncias AE e Nacional'!M10/$U$2+'Distâncias AE e Nacional'!M30/$U$3</f>
        <v>6.4933333333333332</v>
      </c>
      <c r="N10" s="59">
        <f>'Distâncias AE e Nacional'!N10/$U$2+'Distâncias AE e Nacional'!N30/$U$3</f>
        <v>7.706666666666667</v>
      </c>
      <c r="O10" s="59">
        <f>'Distâncias AE e Nacional'!O10/$U$2+'Distâncias AE e Nacional'!O30/$U$3</f>
        <v>5.62</v>
      </c>
      <c r="P10" s="59">
        <f>'Distâncias AE e Nacional'!P10/$U$2+'Distâncias AE e Nacional'!P30/$U$3</f>
        <v>8.2799999999999994</v>
      </c>
      <c r="Q10" s="59">
        <f>'Distâncias AE e Nacional'!Q10/$U$2+'Distâncias AE e Nacional'!Q30/$U$3</f>
        <v>5.1266666666666669</v>
      </c>
      <c r="R10" s="1" t="s">
        <v>53</v>
      </c>
    </row>
    <row r="11" spans="1:21" x14ac:dyDescent="0.25">
      <c r="A11" s="1" t="s">
        <v>56</v>
      </c>
      <c r="B11" s="8"/>
      <c r="C11" s="8"/>
      <c r="D11" s="8"/>
      <c r="E11" s="8"/>
      <c r="F11" s="7"/>
      <c r="G11" s="8"/>
      <c r="H11" s="7"/>
      <c r="I11" s="8"/>
      <c r="J11" s="2"/>
      <c r="K11" s="59">
        <f>'Distâncias AE e Nacional'!K11/$U$2+'Distâncias AE e Nacional'!K31/$U$3</f>
        <v>2.7133333333333334</v>
      </c>
      <c r="L11" s="59">
        <f>'Distâncias AE e Nacional'!L11/$U$2+'Distâncias AE e Nacional'!L31/$U$3</f>
        <v>0.8666666666666667</v>
      </c>
      <c r="M11" s="59">
        <f>'Distâncias AE e Nacional'!M11/$U$2+'Distâncias AE e Nacional'!M31/$U$3</f>
        <v>6.4733333333333336</v>
      </c>
      <c r="N11" s="59">
        <f>'Distâncias AE e Nacional'!N11/$U$2+'Distâncias AE e Nacional'!N31/$U$3</f>
        <v>7.32</v>
      </c>
      <c r="O11" s="59">
        <f>'Distâncias AE e Nacional'!O11/$U$2+'Distâncias AE e Nacional'!O31/$U$3</f>
        <v>5.6333333333333329</v>
      </c>
      <c r="P11" s="59">
        <f>'Distâncias AE e Nacional'!P11/$U$2+'Distâncias AE e Nacional'!P31/$U$3</f>
        <v>8.2999999999999989</v>
      </c>
      <c r="Q11" s="59">
        <f>'Distâncias AE e Nacional'!Q11/$U$2+'Distâncias AE e Nacional'!Q31/$U$3</f>
        <v>5.2333333333333343</v>
      </c>
      <c r="R11" s="1" t="s">
        <v>56</v>
      </c>
    </row>
    <row r="12" spans="1:21" x14ac:dyDescent="0.25">
      <c r="A12" s="1" t="s">
        <v>60</v>
      </c>
      <c r="B12" s="8"/>
      <c r="C12" s="8"/>
      <c r="D12" s="8"/>
      <c r="E12" s="8"/>
      <c r="F12" s="7"/>
      <c r="G12" s="8"/>
      <c r="H12" s="7"/>
      <c r="I12" s="8"/>
      <c r="J12" s="7"/>
      <c r="K12" s="2"/>
      <c r="L12" s="59">
        <f>'Distâncias AE e Nacional'!L12/$U$2+'Distâncias AE e Nacional'!L32/$U$3</f>
        <v>2.4133333333333336</v>
      </c>
      <c r="M12" s="59">
        <f>'Distâncias AE e Nacional'!M12/$U$2+'Distâncias AE e Nacional'!M32/$U$3</f>
        <v>5.2413333333333334</v>
      </c>
      <c r="N12" s="59">
        <f>'Distâncias AE e Nacional'!N12/$U$2+'Distâncias AE e Nacional'!N32/$U$3</f>
        <v>6.0013333333333341</v>
      </c>
      <c r="O12" s="59">
        <f>'Distâncias AE e Nacional'!O12/$U$2+'Distâncias AE e Nacional'!O32/$U$3</f>
        <v>4.4080000000000004</v>
      </c>
      <c r="P12" s="59">
        <f>'Distâncias AE e Nacional'!P12/$U$2+'Distâncias AE e Nacional'!P32/$U$3</f>
        <v>7.0813333333333324</v>
      </c>
      <c r="Q12" s="59">
        <f>'Distâncias AE e Nacional'!Q12/$U$2+'Distâncias AE e Nacional'!Q32/$U$3</f>
        <v>3.8293333333333335</v>
      </c>
      <c r="R12" s="1" t="s">
        <v>60</v>
      </c>
    </row>
    <row r="13" spans="1:21" x14ac:dyDescent="0.25">
      <c r="A13" s="1" t="s">
        <v>63</v>
      </c>
      <c r="B13" s="8"/>
      <c r="C13" s="8"/>
      <c r="D13" s="8"/>
      <c r="E13" s="8"/>
      <c r="F13" s="7"/>
      <c r="G13" s="8"/>
      <c r="H13" s="7"/>
      <c r="I13" s="8"/>
      <c r="J13" s="7"/>
      <c r="K13" s="8"/>
      <c r="L13" s="2"/>
      <c r="M13" s="59">
        <f>'Distâncias AE e Nacional'!M13/$U$2+'Distâncias AE e Nacional'!M33/$U$3</f>
        <v>6.1273333333333326</v>
      </c>
      <c r="N13" s="59">
        <f>'Distâncias AE e Nacional'!N13/$U$2+'Distâncias AE e Nacional'!N33/$U$3</f>
        <v>7.0006666666666657</v>
      </c>
      <c r="O13" s="59">
        <f>'Distâncias AE e Nacional'!O13/$U$2+'Distâncias AE e Nacional'!O33/$U$3</f>
        <v>5.3806666666666665</v>
      </c>
      <c r="P13" s="59">
        <f>'Distâncias AE e Nacional'!P13/$U$2+'Distâncias AE e Nacional'!P33/$U$3</f>
        <v>8.0806666666666676</v>
      </c>
      <c r="Q13" s="59">
        <f>'Distâncias AE e Nacional'!Q13/$U$2+'Distâncias AE e Nacional'!Q33/$U$3</f>
        <v>4.6740000000000004</v>
      </c>
      <c r="R13" s="1" t="s">
        <v>63</v>
      </c>
    </row>
    <row r="14" spans="1:21" x14ac:dyDescent="0.25">
      <c r="A14" s="1" t="s">
        <v>66</v>
      </c>
      <c r="B14" s="8"/>
      <c r="C14" s="8"/>
      <c r="D14" s="8"/>
      <c r="E14" s="8"/>
      <c r="F14" s="7"/>
      <c r="G14" s="8"/>
      <c r="H14" s="7"/>
      <c r="I14" s="8"/>
      <c r="J14" s="7"/>
      <c r="K14" s="8"/>
      <c r="L14" s="7"/>
      <c r="M14" s="2"/>
      <c r="N14" s="59">
        <f>'Distâncias AE e Nacional'!N14/$U$2+'Distâncias AE e Nacional'!N34/$U$3</f>
        <v>1.4</v>
      </c>
      <c r="O14" s="59">
        <f>'Distâncias AE e Nacional'!O14/$U$2+'Distâncias AE e Nacional'!O34/$U$3</f>
        <v>1.4180000000000001</v>
      </c>
      <c r="P14" s="59">
        <f>'Distâncias AE e Nacional'!P14/$U$2+'Distâncias AE e Nacional'!P34/$U$3</f>
        <v>3.5733333333333333</v>
      </c>
      <c r="Q14" s="59">
        <f>'Distâncias AE e Nacional'!Q14/$U$2+'Distâncias AE e Nacional'!Q34/$U$3</f>
        <v>1.8599999999999999</v>
      </c>
      <c r="R14" s="1" t="s">
        <v>66</v>
      </c>
    </row>
    <row r="15" spans="1:21" x14ac:dyDescent="0.25">
      <c r="A15" s="1" t="s">
        <v>69</v>
      </c>
      <c r="B15" s="8"/>
      <c r="C15" s="8"/>
      <c r="D15" s="8"/>
      <c r="E15" s="8"/>
      <c r="F15" s="7"/>
      <c r="G15" s="8"/>
      <c r="H15" s="7"/>
      <c r="I15" s="8"/>
      <c r="J15" s="7"/>
      <c r="K15" s="8"/>
      <c r="L15" s="7"/>
      <c r="M15" s="8"/>
      <c r="N15" s="2"/>
      <c r="O15" s="59">
        <f>'Distâncias AE e Nacional'!O15/$U$2+'Distâncias AE e Nacional'!O35/$U$3</f>
        <v>2.1866666666666665</v>
      </c>
      <c r="P15" s="59">
        <f>'Distâncias AE e Nacional'!P15/$U$2+'Distâncias AE e Nacional'!P35/$U$3</f>
        <v>1.9706666666666668</v>
      </c>
      <c r="Q15" s="59">
        <f>'Distâncias AE e Nacional'!Q15/$U$2+'Distâncias AE e Nacional'!Q35/$U$3</f>
        <v>3.42</v>
      </c>
      <c r="R15" s="1" t="s">
        <v>69</v>
      </c>
    </row>
    <row r="16" spans="1:21" x14ac:dyDescent="0.25">
      <c r="A16" s="1" t="s">
        <v>71</v>
      </c>
      <c r="B16" s="8"/>
      <c r="C16" s="8"/>
      <c r="D16" s="8"/>
      <c r="E16" s="8"/>
      <c r="F16" s="7"/>
      <c r="G16" s="8"/>
      <c r="H16" s="7"/>
      <c r="I16" s="8"/>
      <c r="J16" s="7"/>
      <c r="K16" s="8"/>
      <c r="L16" s="7"/>
      <c r="M16" s="8"/>
      <c r="N16" s="8"/>
      <c r="O16" s="2"/>
      <c r="P16" s="59">
        <f>'Distâncias AE e Nacional'!P16/$U$2+'Distâncias AE e Nacional'!P36/$U$3</f>
        <v>3.34</v>
      </c>
      <c r="Q16" s="59">
        <f>'Distâncias AE e Nacional'!Q16/$U$2+'Distâncias AE e Nacional'!Q36/$U$3</f>
        <v>3.0066666666666668</v>
      </c>
      <c r="R16" s="1" t="s">
        <v>71</v>
      </c>
    </row>
    <row r="17" spans="1:21" x14ac:dyDescent="0.25">
      <c r="A17" s="1" t="s">
        <v>74</v>
      </c>
      <c r="B17" s="8"/>
      <c r="C17" s="8"/>
      <c r="D17" s="8"/>
      <c r="E17" s="8"/>
      <c r="F17" s="7"/>
      <c r="G17" s="8"/>
      <c r="H17" s="7"/>
      <c r="I17" s="8"/>
      <c r="J17" s="7"/>
      <c r="K17" s="8"/>
      <c r="L17" s="7"/>
      <c r="M17" s="8"/>
      <c r="N17" s="7"/>
      <c r="O17" s="7"/>
      <c r="P17" s="2"/>
      <c r="Q17" s="59">
        <f>'Distâncias AE e Nacional'!Q17/$U$2+'Distâncias AE e Nacional'!Q37/$U$3</f>
        <v>5.7799999999999994</v>
      </c>
      <c r="R17" s="1" t="s">
        <v>74</v>
      </c>
    </row>
    <row r="18" spans="1:21" x14ac:dyDescent="0.25">
      <c r="A18" s="1" t="s">
        <v>77</v>
      </c>
      <c r="B18" s="8"/>
      <c r="C18" s="8"/>
      <c r="D18" s="8"/>
      <c r="E18" s="8"/>
      <c r="F18" s="7"/>
      <c r="G18" s="8"/>
      <c r="H18" s="7"/>
      <c r="I18" s="8"/>
      <c r="J18" s="7"/>
      <c r="K18" s="8"/>
      <c r="L18" s="7"/>
      <c r="M18" s="8"/>
      <c r="N18" s="8"/>
      <c r="O18" s="8"/>
      <c r="P18" s="8"/>
      <c r="Q18" s="2"/>
      <c r="R18" s="1" t="s">
        <v>77</v>
      </c>
    </row>
    <row r="19" spans="1:21" x14ac:dyDescent="0.25">
      <c r="A19" s="1"/>
      <c r="B19" s="1" t="s">
        <v>80</v>
      </c>
      <c r="C19" s="1" t="s">
        <v>29</v>
      </c>
      <c r="D19" s="1" t="s">
        <v>19</v>
      </c>
      <c r="E19" s="1" t="s">
        <v>23</v>
      </c>
      <c r="F19" s="1" t="s">
        <v>36</v>
      </c>
      <c r="G19" s="1" t="s">
        <v>44</v>
      </c>
      <c r="H19" s="1" t="s">
        <v>49</v>
      </c>
      <c r="I19" s="1" t="s">
        <v>53</v>
      </c>
      <c r="J19" s="1" t="s">
        <v>56</v>
      </c>
      <c r="K19" s="1" t="s">
        <v>60</v>
      </c>
      <c r="L19" s="1" t="s">
        <v>63</v>
      </c>
      <c r="M19" s="1" t="s">
        <v>66</v>
      </c>
      <c r="N19" s="1" t="s">
        <v>69</v>
      </c>
      <c r="O19" s="1" t="s">
        <v>71</v>
      </c>
      <c r="P19" s="1" t="s">
        <v>74</v>
      </c>
      <c r="Q19" s="1" t="s">
        <v>77</v>
      </c>
      <c r="R19" s="1"/>
    </row>
    <row r="21" spans="1:21" x14ac:dyDescent="0.25">
      <c r="A21" s="345" t="s">
        <v>100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  <c r="M21" s="345"/>
      <c r="N21" s="345"/>
      <c r="O21" s="345"/>
      <c r="P21" s="345"/>
      <c r="Q21" s="345"/>
      <c r="R21" s="345"/>
    </row>
    <row r="22" spans="1:21" x14ac:dyDescent="0.25">
      <c r="A22" s="1"/>
      <c r="B22" s="1" t="s">
        <v>80</v>
      </c>
      <c r="C22" s="1" t="s">
        <v>29</v>
      </c>
      <c r="D22" s="1" t="s">
        <v>19</v>
      </c>
      <c r="E22" s="1" t="s">
        <v>23</v>
      </c>
      <c r="F22" s="1" t="s">
        <v>36</v>
      </c>
      <c r="G22" s="1" t="s">
        <v>44</v>
      </c>
      <c r="H22" s="1" t="s">
        <v>49</v>
      </c>
      <c r="I22" s="1" t="s">
        <v>53</v>
      </c>
      <c r="J22" s="1" t="s">
        <v>56</v>
      </c>
      <c r="K22" s="1" t="s">
        <v>60</v>
      </c>
      <c r="L22" s="1" t="s">
        <v>63</v>
      </c>
      <c r="M22" s="1" t="s">
        <v>66</v>
      </c>
      <c r="N22" s="1" t="s">
        <v>69</v>
      </c>
      <c r="O22" s="1" t="s">
        <v>71</v>
      </c>
      <c r="P22" s="1" t="s">
        <v>74</v>
      </c>
      <c r="Q22" s="1" t="s">
        <v>77</v>
      </c>
      <c r="R22" s="1"/>
    </row>
    <row r="23" spans="1:21" x14ac:dyDescent="0.25">
      <c r="A23" s="1" t="s">
        <v>80</v>
      </c>
      <c r="B23" s="2"/>
      <c r="C23" s="165">
        <f>TIME(INT(C3), (C3 - INT(C3)) * 60, 0)</f>
        <v>0.14166666666666666</v>
      </c>
      <c r="D23" s="165">
        <f t="shared" ref="D23:Q37" si="0">TIME(INT(D3), (D3 - INT(D3)) * 60, 0)</f>
        <v>0.20277777777777778</v>
      </c>
      <c r="E23" s="165">
        <f t="shared" si="0"/>
        <v>8.8888888888888892E-2</v>
      </c>
      <c r="F23" s="165">
        <f t="shared" si="0"/>
        <v>0.14166666666666666</v>
      </c>
      <c r="G23" s="165">
        <f t="shared" si="0"/>
        <v>4.5138888888888888E-2</v>
      </c>
      <c r="H23" s="165">
        <f t="shared" si="0"/>
        <v>8.0555555555555561E-2</v>
      </c>
      <c r="I23" s="165">
        <f t="shared" si="0"/>
        <v>0.17777777777777778</v>
      </c>
      <c r="J23" s="165">
        <f t="shared" si="0"/>
        <v>0.17847222222222223</v>
      </c>
      <c r="K23" s="165">
        <f t="shared" si="0"/>
        <v>0.12638888888888888</v>
      </c>
      <c r="L23" s="165">
        <f t="shared" si="0"/>
        <v>0.16666666666666666</v>
      </c>
      <c r="M23" s="165">
        <f t="shared" si="0"/>
        <v>9.3055555555555558E-2</v>
      </c>
      <c r="N23" s="165">
        <f t="shared" si="0"/>
        <v>0.12916666666666668</v>
      </c>
      <c r="O23" s="165">
        <f t="shared" si="0"/>
        <v>6.7361111111111108E-2</v>
      </c>
      <c r="P23" s="165">
        <f t="shared" si="0"/>
        <v>0.1736111111111111</v>
      </c>
      <c r="Q23" s="165">
        <f t="shared" si="0"/>
        <v>0.10694444444444444</v>
      </c>
      <c r="R23" s="1" t="s">
        <v>80</v>
      </c>
    </row>
    <row r="24" spans="1:21" x14ac:dyDescent="0.25">
      <c r="A24" s="1" t="s">
        <v>29</v>
      </c>
      <c r="B24" s="7"/>
      <c r="C24" s="166"/>
      <c r="D24" s="165">
        <f t="shared" si="0"/>
        <v>8.4027777777777785E-2</v>
      </c>
      <c r="E24" s="165">
        <f t="shared" si="0"/>
        <v>0.14583333333333334</v>
      </c>
      <c r="F24" s="165">
        <f t="shared" si="0"/>
        <v>0.11458333333333333</v>
      </c>
      <c r="G24" s="165">
        <f t="shared" si="0"/>
        <v>0.17291666666666666</v>
      </c>
      <c r="H24" s="165">
        <f t="shared" si="0"/>
        <v>6.6666666666666666E-2</v>
      </c>
      <c r="I24" s="165">
        <f t="shared" si="0"/>
        <v>5.2083333333333336E-2</v>
      </c>
      <c r="J24" s="165">
        <f t="shared" si="0"/>
        <v>4.2361111111111113E-2</v>
      </c>
      <c r="K24" s="165">
        <f t="shared" si="0"/>
        <v>7.3611111111111113E-2</v>
      </c>
      <c r="L24" s="165">
        <f t="shared" si="0"/>
        <v>3.1944444444444442E-2</v>
      </c>
      <c r="M24" s="165">
        <f t="shared" si="0"/>
        <v>0.22916666666666666</v>
      </c>
      <c r="N24" s="165">
        <f t="shared" si="0"/>
        <v>0.26527777777777778</v>
      </c>
      <c r="O24" s="165">
        <f t="shared" si="0"/>
        <v>0.19583333333333333</v>
      </c>
      <c r="P24" s="165">
        <f t="shared" si="0"/>
        <v>0.30625000000000002</v>
      </c>
      <c r="Q24" s="165">
        <f t="shared" si="0"/>
        <v>0.18194444444444444</v>
      </c>
      <c r="R24" s="1" t="s">
        <v>29</v>
      </c>
      <c r="U24" s="169"/>
    </row>
    <row r="25" spans="1:21" x14ac:dyDescent="0.25">
      <c r="A25" s="1" t="s">
        <v>19</v>
      </c>
      <c r="B25" s="8"/>
      <c r="C25" s="167"/>
      <c r="D25" s="166"/>
      <c r="E25" s="165">
        <f t="shared" si="0"/>
        <v>0.12916666666666668</v>
      </c>
      <c r="F25" s="165">
        <f t="shared" si="0"/>
        <v>7.8472222222222221E-2</v>
      </c>
      <c r="G25" s="165">
        <f t="shared" si="0"/>
        <v>0.23749999999999999</v>
      </c>
      <c r="H25" s="165">
        <f t="shared" si="0"/>
        <v>0.12708333333333333</v>
      </c>
      <c r="I25" s="165">
        <f t="shared" si="0"/>
        <v>3.5416666666666666E-2</v>
      </c>
      <c r="J25" s="165">
        <f t="shared" si="0"/>
        <v>0.12291666666666666</v>
      </c>
      <c r="K25" s="165">
        <f t="shared" si="0"/>
        <v>8.1944444444444445E-2</v>
      </c>
      <c r="L25" s="165">
        <f t="shared" si="0"/>
        <v>9.2361111111111116E-2</v>
      </c>
      <c r="M25" s="165">
        <f t="shared" si="0"/>
        <v>0.26111111111111113</v>
      </c>
      <c r="N25" s="165">
        <f t="shared" si="0"/>
        <v>0.27500000000000002</v>
      </c>
      <c r="O25" s="165">
        <f t="shared" si="0"/>
        <v>0.26041666666666669</v>
      </c>
      <c r="P25" s="165">
        <f t="shared" si="0"/>
        <v>0.37361111111111112</v>
      </c>
      <c r="Q25" s="165">
        <f t="shared" si="0"/>
        <v>0.19097222222222221</v>
      </c>
      <c r="R25" s="1" t="s">
        <v>19</v>
      </c>
    </row>
    <row r="26" spans="1:21" x14ac:dyDescent="0.25">
      <c r="A26" s="1" t="s">
        <v>23</v>
      </c>
      <c r="B26" s="8"/>
      <c r="C26" s="167"/>
      <c r="D26" s="167"/>
      <c r="E26" s="166"/>
      <c r="F26" s="165">
        <f t="shared" si="0"/>
        <v>5.8333333333333334E-2</v>
      </c>
      <c r="G26" s="165">
        <f t="shared" si="0"/>
        <v>0.12569444444444444</v>
      </c>
      <c r="H26" s="165">
        <f t="shared" si="0"/>
        <v>0.1111111111111111</v>
      </c>
      <c r="I26" s="165">
        <f t="shared" si="0"/>
        <v>0.15138888888888888</v>
      </c>
      <c r="J26" s="165">
        <f t="shared" si="0"/>
        <v>0.18541666666666667</v>
      </c>
      <c r="K26" s="165">
        <f t="shared" si="0"/>
        <v>9.8611111111111108E-2</v>
      </c>
      <c r="L26" s="165">
        <f t="shared" si="0"/>
        <v>0.1736111111111111</v>
      </c>
      <c r="M26" s="165">
        <f t="shared" si="0"/>
        <v>0.13541666666666666</v>
      </c>
      <c r="N26" s="165">
        <f t="shared" si="0"/>
        <v>0.20069444444444445</v>
      </c>
      <c r="O26" s="165">
        <f t="shared" si="0"/>
        <v>0.1451388888888889</v>
      </c>
      <c r="P26" s="165">
        <f t="shared" si="0"/>
        <v>0.33888888888888891</v>
      </c>
      <c r="Q26" s="165">
        <f t="shared" si="0"/>
        <v>6.5972222222222224E-2</v>
      </c>
      <c r="R26" s="1" t="s">
        <v>23</v>
      </c>
    </row>
    <row r="27" spans="1:21" x14ac:dyDescent="0.25">
      <c r="A27" s="1" t="s">
        <v>36</v>
      </c>
      <c r="B27" s="8"/>
      <c r="C27" s="167"/>
      <c r="D27" s="167"/>
      <c r="E27" s="167"/>
      <c r="F27" s="166"/>
      <c r="G27" s="165">
        <f t="shared" si="0"/>
        <v>0.17847222222222223</v>
      </c>
      <c r="H27" s="165">
        <f t="shared" si="0"/>
        <v>9.6527777777777782E-2</v>
      </c>
      <c r="I27" s="165">
        <f t="shared" si="0"/>
        <v>0.1</v>
      </c>
      <c r="J27" s="165">
        <f t="shared" si="0"/>
        <v>0.15347222222222223</v>
      </c>
      <c r="K27" s="165">
        <f t="shared" si="0"/>
        <v>4.7222222222222221E-2</v>
      </c>
      <c r="L27" s="165">
        <f t="shared" si="0"/>
        <v>0.1423611111111111</v>
      </c>
      <c r="M27" s="165">
        <f t="shared" si="0"/>
        <v>0.18819444444444444</v>
      </c>
      <c r="N27" s="165">
        <f t="shared" si="0"/>
        <v>0.25347222222222221</v>
      </c>
      <c r="O27" s="165">
        <f t="shared" si="0"/>
        <v>0.19791666666666666</v>
      </c>
      <c r="P27" s="165">
        <f t="shared" si="0"/>
        <v>0.31041666666666667</v>
      </c>
      <c r="Q27" s="165">
        <f t="shared" si="0"/>
        <v>0.11874999999999999</v>
      </c>
      <c r="R27" s="1" t="s">
        <v>36</v>
      </c>
      <c r="T27" s="169"/>
    </row>
    <row r="28" spans="1:21" x14ac:dyDescent="0.25">
      <c r="A28" s="1" t="s">
        <v>44</v>
      </c>
      <c r="B28" s="8"/>
      <c r="C28" s="167"/>
      <c r="D28" s="167"/>
      <c r="E28" s="167"/>
      <c r="F28" s="168"/>
      <c r="G28" s="166"/>
      <c r="H28" s="165">
        <f t="shared" si="0"/>
        <v>0.11597222222222223</v>
      </c>
      <c r="I28" s="165">
        <f t="shared" si="0"/>
        <v>0.21180555555555555</v>
      </c>
      <c r="J28" s="165">
        <f t="shared" si="0"/>
        <v>0.21319444444444444</v>
      </c>
      <c r="K28" s="165">
        <f t="shared" si="0"/>
        <v>0.16180555555555556</v>
      </c>
      <c r="L28" s="165">
        <f t="shared" si="0"/>
        <v>0.20208333333333334</v>
      </c>
      <c r="M28" s="165">
        <f t="shared" si="0"/>
        <v>7.8472222222222221E-2</v>
      </c>
      <c r="N28" s="165">
        <f t="shared" si="0"/>
        <v>0.11041666666666666</v>
      </c>
      <c r="O28" s="165">
        <f t="shared" si="0"/>
        <v>2.8472222222222222E-2</v>
      </c>
      <c r="P28" s="165">
        <f t="shared" si="0"/>
        <v>0.15486111111111112</v>
      </c>
      <c r="Q28" s="165">
        <f t="shared" si="0"/>
        <v>0.14305555555555555</v>
      </c>
      <c r="R28" s="1" t="s">
        <v>44</v>
      </c>
    </row>
    <row r="29" spans="1:21" x14ac:dyDescent="0.25">
      <c r="A29" s="1" t="s">
        <v>49</v>
      </c>
      <c r="B29" s="8"/>
      <c r="C29" s="167"/>
      <c r="D29" s="167"/>
      <c r="E29" s="167"/>
      <c r="F29" s="168"/>
      <c r="G29" s="167"/>
      <c r="H29" s="166"/>
      <c r="I29" s="165">
        <f t="shared" si="0"/>
        <v>0.1</v>
      </c>
      <c r="J29" s="165">
        <f t="shared" si="0"/>
        <v>0.10625</v>
      </c>
      <c r="K29" s="165">
        <f t="shared" si="0"/>
        <v>0.05</v>
      </c>
      <c r="L29" s="165">
        <f t="shared" si="0"/>
        <v>9.7222222222222224E-2</v>
      </c>
      <c r="M29" s="165">
        <f t="shared" si="0"/>
        <v>0.1701388888888889</v>
      </c>
      <c r="N29" s="165">
        <f t="shared" si="0"/>
        <v>0.20555555555555555</v>
      </c>
      <c r="O29" s="165">
        <f t="shared" si="0"/>
        <v>0.14583333333333334</v>
      </c>
      <c r="P29" s="165">
        <f t="shared" si="0"/>
        <v>0.24722222222222223</v>
      </c>
      <c r="Q29" s="165">
        <f t="shared" si="0"/>
        <v>0.10555555555555556</v>
      </c>
      <c r="R29" s="1" t="s">
        <v>49</v>
      </c>
    </row>
    <row r="30" spans="1:21" x14ac:dyDescent="0.25">
      <c r="A30" s="1" t="s">
        <v>53</v>
      </c>
      <c r="B30" s="8"/>
      <c r="C30" s="167"/>
      <c r="D30" s="167"/>
      <c r="E30" s="167"/>
      <c r="F30" s="168"/>
      <c r="G30" s="167"/>
      <c r="H30" s="168"/>
      <c r="I30" s="166"/>
      <c r="J30" s="165">
        <f t="shared" si="0"/>
        <v>9.0277777777777776E-2</v>
      </c>
      <c r="K30" s="165">
        <f t="shared" si="0"/>
        <v>5.6944444444444443E-2</v>
      </c>
      <c r="L30" s="165">
        <f t="shared" si="0"/>
        <v>5.9722222222222225E-2</v>
      </c>
      <c r="M30" s="165">
        <f t="shared" si="0"/>
        <v>0.27013888888888887</v>
      </c>
      <c r="N30" s="165">
        <f t="shared" si="0"/>
        <v>0.32083333333333336</v>
      </c>
      <c r="O30" s="165">
        <f t="shared" si="0"/>
        <v>0.23402777777777778</v>
      </c>
      <c r="P30" s="165">
        <f t="shared" si="0"/>
        <v>0.34444444444444444</v>
      </c>
      <c r="Q30" s="165">
        <f t="shared" si="0"/>
        <v>0.21319444444444444</v>
      </c>
      <c r="R30" s="1" t="s">
        <v>53</v>
      </c>
    </row>
    <row r="31" spans="1:21" x14ac:dyDescent="0.25">
      <c r="A31" s="1" t="s">
        <v>56</v>
      </c>
      <c r="B31" s="8"/>
      <c r="C31" s="167"/>
      <c r="D31" s="167"/>
      <c r="E31" s="167"/>
      <c r="F31" s="168"/>
      <c r="G31" s="167"/>
      <c r="H31" s="168"/>
      <c r="I31" s="167"/>
      <c r="J31" s="166"/>
      <c r="K31" s="165">
        <f t="shared" si="0"/>
        <v>0.1125</v>
      </c>
      <c r="L31" s="165">
        <f t="shared" si="0"/>
        <v>3.6111111111111108E-2</v>
      </c>
      <c r="M31" s="165">
        <f t="shared" si="0"/>
        <v>0.26944444444444443</v>
      </c>
      <c r="N31" s="165">
        <f t="shared" si="0"/>
        <v>0.30486111111111114</v>
      </c>
      <c r="O31" s="165">
        <f t="shared" si="0"/>
        <v>0.23472222222222222</v>
      </c>
      <c r="P31" s="165">
        <f t="shared" si="0"/>
        <v>0.34583333333333333</v>
      </c>
      <c r="Q31" s="165">
        <f t="shared" si="0"/>
        <v>0.21805555555555556</v>
      </c>
      <c r="R31" s="1" t="s">
        <v>56</v>
      </c>
    </row>
    <row r="32" spans="1:21" x14ac:dyDescent="0.25">
      <c r="A32" s="1" t="s">
        <v>60</v>
      </c>
      <c r="B32" s="8"/>
      <c r="C32" s="167"/>
      <c r="D32" s="167"/>
      <c r="E32" s="167"/>
      <c r="F32" s="168"/>
      <c r="G32" s="167"/>
      <c r="H32" s="168"/>
      <c r="I32" s="167"/>
      <c r="J32" s="168"/>
      <c r="K32" s="166"/>
      <c r="L32" s="165">
        <f t="shared" si="0"/>
        <v>0.1</v>
      </c>
      <c r="M32" s="165">
        <f t="shared" si="0"/>
        <v>0.21805555555555556</v>
      </c>
      <c r="N32" s="165">
        <f t="shared" si="0"/>
        <v>0.25</v>
      </c>
      <c r="O32" s="165">
        <f t="shared" si="0"/>
        <v>0.18333333333333332</v>
      </c>
      <c r="P32" s="165">
        <f t="shared" si="0"/>
        <v>0.29444444444444445</v>
      </c>
      <c r="Q32" s="165">
        <f t="shared" si="0"/>
        <v>0.15902777777777777</v>
      </c>
      <c r="R32" s="1" t="s">
        <v>60</v>
      </c>
    </row>
    <row r="33" spans="1:18" x14ac:dyDescent="0.25">
      <c r="A33" s="1" t="s">
        <v>63</v>
      </c>
      <c r="B33" s="8"/>
      <c r="C33" s="167"/>
      <c r="D33" s="167"/>
      <c r="E33" s="167"/>
      <c r="F33" s="168"/>
      <c r="G33" s="167"/>
      <c r="H33" s="168"/>
      <c r="I33" s="167"/>
      <c r="J33" s="168"/>
      <c r="K33" s="167"/>
      <c r="L33" s="166"/>
      <c r="M33" s="165">
        <f t="shared" si="0"/>
        <v>0.25486111111111109</v>
      </c>
      <c r="N33" s="165">
        <f t="shared" si="0"/>
        <v>0.29166666666666669</v>
      </c>
      <c r="O33" s="165">
        <f t="shared" si="0"/>
        <v>0.22361111111111112</v>
      </c>
      <c r="P33" s="165">
        <f t="shared" si="0"/>
        <v>0.33611111111111114</v>
      </c>
      <c r="Q33" s="165">
        <f t="shared" si="0"/>
        <v>0.19444444444444445</v>
      </c>
      <c r="R33" s="1" t="s">
        <v>63</v>
      </c>
    </row>
    <row r="34" spans="1:18" x14ac:dyDescent="0.25">
      <c r="A34" s="1" t="s">
        <v>66</v>
      </c>
      <c r="B34" s="8"/>
      <c r="C34" s="167"/>
      <c r="D34" s="167"/>
      <c r="E34" s="167"/>
      <c r="F34" s="168"/>
      <c r="G34" s="167"/>
      <c r="H34" s="168"/>
      <c r="I34" s="167"/>
      <c r="J34" s="168"/>
      <c r="K34" s="167"/>
      <c r="L34" s="168"/>
      <c r="M34" s="166"/>
      <c r="N34" s="165">
        <f t="shared" si="0"/>
        <v>5.8333333333333334E-2</v>
      </c>
      <c r="O34" s="165">
        <f t="shared" si="0"/>
        <v>5.9027777777777776E-2</v>
      </c>
      <c r="P34" s="165">
        <f t="shared" si="0"/>
        <v>0.14861111111111111</v>
      </c>
      <c r="Q34" s="165">
        <f t="shared" si="0"/>
        <v>7.7083333333333337E-2</v>
      </c>
      <c r="R34" s="1" t="s">
        <v>66</v>
      </c>
    </row>
    <row r="35" spans="1:18" x14ac:dyDescent="0.25">
      <c r="A35" s="1" t="s">
        <v>69</v>
      </c>
      <c r="B35" s="8"/>
      <c r="C35" s="167"/>
      <c r="D35" s="167"/>
      <c r="E35" s="167"/>
      <c r="F35" s="168"/>
      <c r="G35" s="167"/>
      <c r="H35" s="168"/>
      <c r="I35" s="167"/>
      <c r="J35" s="168"/>
      <c r="K35" s="167"/>
      <c r="L35" s="168"/>
      <c r="M35" s="167"/>
      <c r="N35" s="166"/>
      <c r="O35" s="165">
        <f t="shared" si="0"/>
        <v>9.0972222222222218E-2</v>
      </c>
      <c r="P35" s="165">
        <f t="shared" si="0"/>
        <v>8.1944444444444445E-2</v>
      </c>
      <c r="Q35" s="165">
        <f t="shared" si="0"/>
        <v>0.1423611111111111</v>
      </c>
      <c r="R35" s="1" t="s">
        <v>69</v>
      </c>
    </row>
    <row r="36" spans="1:18" x14ac:dyDescent="0.25">
      <c r="A36" s="1" t="s">
        <v>71</v>
      </c>
      <c r="B36" s="8"/>
      <c r="C36" s="167"/>
      <c r="D36" s="167"/>
      <c r="E36" s="167"/>
      <c r="F36" s="168"/>
      <c r="G36" s="167"/>
      <c r="H36" s="168"/>
      <c r="I36" s="167"/>
      <c r="J36" s="168"/>
      <c r="K36" s="167"/>
      <c r="L36" s="168"/>
      <c r="M36" s="167"/>
      <c r="N36" s="167"/>
      <c r="O36" s="166"/>
      <c r="P36" s="165">
        <f t="shared" si="0"/>
        <v>0.1388888888888889</v>
      </c>
      <c r="Q36" s="165">
        <f t="shared" si="0"/>
        <v>0.125</v>
      </c>
      <c r="R36" s="1" t="s">
        <v>71</v>
      </c>
    </row>
    <row r="37" spans="1:18" x14ac:dyDescent="0.25">
      <c r="A37" s="1" t="s">
        <v>74</v>
      </c>
      <c r="B37" s="8"/>
      <c r="C37" s="167"/>
      <c r="D37" s="167"/>
      <c r="E37" s="167"/>
      <c r="F37" s="168"/>
      <c r="G37" s="167"/>
      <c r="H37" s="168"/>
      <c r="I37" s="167"/>
      <c r="J37" s="168"/>
      <c r="K37" s="167"/>
      <c r="L37" s="168"/>
      <c r="M37" s="167"/>
      <c r="N37" s="168"/>
      <c r="O37" s="168"/>
      <c r="P37" s="166"/>
      <c r="Q37" s="165">
        <f t="shared" si="0"/>
        <v>0.24027777777777778</v>
      </c>
      <c r="R37" s="1" t="s">
        <v>74</v>
      </c>
    </row>
    <row r="38" spans="1:18" x14ac:dyDescent="0.25">
      <c r="A38" s="1" t="s">
        <v>77</v>
      </c>
      <c r="B38" s="8"/>
      <c r="C38" s="167"/>
      <c r="D38" s="167"/>
      <c r="E38" s="167"/>
      <c r="F38" s="168"/>
      <c r="G38" s="167"/>
      <c r="H38" s="168"/>
      <c r="I38" s="167"/>
      <c r="J38" s="168"/>
      <c r="K38" s="167"/>
      <c r="L38" s="168"/>
      <c r="M38" s="167"/>
      <c r="N38" s="167"/>
      <c r="O38" s="167"/>
      <c r="P38" s="167"/>
      <c r="Q38" s="166"/>
      <c r="R38" s="1" t="s">
        <v>77</v>
      </c>
    </row>
    <row r="39" spans="1:18" x14ac:dyDescent="0.25">
      <c r="A39" s="1"/>
      <c r="B39" s="1" t="s">
        <v>80</v>
      </c>
      <c r="C39" s="1" t="s">
        <v>29</v>
      </c>
      <c r="D39" s="1" t="s">
        <v>19</v>
      </c>
      <c r="E39" s="1" t="s">
        <v>23</v>
      </c>
      <c r="F39" s="1" t="s">
        <v>36</v>
      </c>
      <c r="G39" s="1" t="s">
        <v>44</v>
      </c>
      <c r="H39" s="1" t="s">
        <v>49</v>
      </c>
      <c r="I39" s="1" t="s">
        <v>53</v>
      </c>
      <c r="J39" s="1" t="s">
        <v>56</v>
      </c>
      <c r="K39" s="1" t="s">
        <v>60</v>
      </c>
      <c r="L39" s="1" t="s">
        <v>63</v>
      </c>
      <c r="M39" s="1" t="s">
        <v>66</v>
      </c>
      <c r="N39" s="1" t="s">
        <v>69</v>
      </c>
      <c r="O39" s="1" t="s">
        <v>71</v>
      </c>
      <c r="P39" s="1" t="s">
        <v>74</v>
      </c>
      <c r="Q39" s="1" t="s">
        <v>77</v>
      </c>
      <c r="R39" s="1"/>
    </row>
  </sheetData>
  <mergeCells count="2">
    <mergeCell ref="A1:R1"/>
    <mergeCell ref="A21:R21"/>
  </mergeCells>
  <phoneticPr fontId="1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E259F-6B6D-4BD5-A606-E687E19E6383}">
  <sheetPr codeName="Folha9"/>
  <dimension ref="A1:V30"/>
  <sheetViews>
    <sheetView zoomScale="73" workbookViewId="0">
      <selection activeCell="W28" sqref="W28"/>
    </sheetView>
  </sheetViews>
  <sheetFormatPr defaultRowHeight="15" x14ac:dyDescent="0.25"/>
  <cols>
    <col min="1" max="6" width="17.42578125" bestFit="1" customWidth="1"/>
    <col min="10" max="10" width="9.140625" bestFit="1" customWidth="1"/>
    <col min="11" max="11" width="17.42578125" bestFit="1" customWidth="1"/>
    <col min="18" max="18" width="11.140625" bestFit="1" customWidth="1"/>
    <col min="19" max="19" width="4.42578125" customWidth="1"/>
    <col min="20" max="20" width="16.85546875" customWidth="1"/>
    <col min="21" max="21" width="14.85546875" customWidth="1"/>
    <col min="22" max="22" width="20.85546875" customWidth="1"/>
  </cols>
  <sheetData>
    <row r="1" spans="1:22" ht="15.75" x14ac:dyDescent="0.25">
      <c r="A1" s="81" t="s">
        <v>61</v>
      </c>
      <c r="B1" s="81" t="s">
        <v>102</v>
      </c>
      <c r="C1" s="81" t="s">
        <v>21</v>
      </c>
      <c r="D1" s="81" t="s">
        <v>19</v>
      </c>
      <c r="E1" s="81" t="s">
        <v>23</v>
      </c>
      <c r="F1" s="81" t="s">
        <v>29</v>
      </c>
      <c r="G1" s="81" t="s">
        <v>36</v>
      </c>
      <c r="H1" s="81" t="s">
        <v>44</v>
      </c>
      <c r="I1" s="81" t="s">
        <v>49</v>
      </c>
      <c r="J1" s="81" t="s">
        <v>53</v>
      </c>
      <c r="K1" s="81" t="s">
        <v>56</v>
      </c>
      <c r="L1" s="81" t="s">
        <v>60</v>
      </c>
      <c r="M1" s="81" t="s">
        <v>63</v>
      </c>
      <c r="N1" s="81" t="s">
        <v>66</v>
      </c>
      <c r="O1" s="81" t="s">
        <v>69</v>
      </c>
      <c r="P1" s="81" t="s">
        <v>71</v>
      </c>
      <c r="Q1" s="81" t="s">
        <v>74</v>
      </c>
      <c r="R1" s="81" t="s">
        <v>77</v>
      </c>
    </row>
    <row r="2" spans="1:22" ht="16.5" thickBot="1" x14ac:dyDescent="0.3">
      <c r="A2" s="81" t="s">
        <v>102</v>
      </c>
      <c r="B2" s="82" t="s">
        <v>103</v>
      </c>
      <c r="C2" s="82">
        <v>1</v>
      </c>
      <c r="D2" s="82">
        <v>2</v>
      </c>
      <c r="E2" s="82">
        <v>3</v>
      </c>
      <c r="F2" s="82">
        <v>4</v>
      </c>
      <c r="G2" s="82">
        <v>5</v>
      </c>
      <c r="H2" s="82">
        <v>6</v>
      </c>
      <c r="I2" s="82">
        <v>7</v>
      </c>
      <c r="J2" s="82">
        <v>8</v>
      </c>
      <c r="K2" s="82">
        <v>9</v>
      </c>
      <c r="L2" s="82">
        <v>10</v>
      </c>
      <c r="M2" s="82">
        <v>11</v>
      </c>
      <c r="N2" s="82">
        <v>12</v>
      </c>
      <c r="O2" s="82">
        <v>13</v>
      </c>
      <c r="P2" s="82">
        <v>14</v>
      </c>
      <c r="Q2" s="82">
        <v>15</v>
      </c>
      <c r="R2" s="82">
        <v>16</v>
      </c>
      <c r="T2" s="60" t="s">
        <v>104</v>
      </c>
      <c r="U2" s="61" t="s">
        <v>11</v>
      </c>
      <c r="V2" s="61" t="s">
        <v>12</v>
      </c>
    </row>
    <row r="3" spans="1:22" ht="15.75" x14ac:dyDescent="0.25">
      <c r="A3" s="81" t="s">
        <v>21</v>
      </c>
      <c r="B3" s="82">
        <v>1</v>
      </c>
      <c r="C3" s="78">
        <v>0</v>
      </c>
      <c r="D3" s="76">
        <v>361</v>
      </c>
      <c r="E3" s="76">
        <v>157</v>
      </c>
      <c r="F3" s="77">
        <v>250</v>
      </c>
      <c r="G3" s="76">
        <v>251</v>
      </c>
      <c r="H3" s="76">
        <v>78</v>
      </c>
      <c r="I3" s="76">
        <v>140</v>
      </c>
      <c r="J3" s="76">
        <v>316</v>
      </c>
      <c r="K3" s="76">
        <v>318</v>
      </c>
      <c r="L3" s="76">
        <v>223</v>
      </c>
      <c r="M3" s="76">
        <v>297</v>
      </c>
      <c r="N3" s="76">
        <v>123</v>
      </c>
      <c r="O3" s="76">
        <v>206</v>
      </c>
      <c r="P3" s="76">
        <v>117</v>
      </c>
      <c r="Q3" s="76">
        <v>307</v>
      </c>
      <c r="R3" s="76">
        <v>156</v>
      </c>
      <c r="T3" s="62">
        <v>1</v>
      </c>
      <c r="U3" s="63" t="s">
        <v>19</v>
      </c>
      <c r="V3">
        <f>Enunciado!D3</f>
        <v>3</v>
      </c>
    </row>
    <row r="4" spans="1:22" ht="15.75" x14ac:dyDescent="0.25">
      <c r="A4" s="83" t="s">
        <v>19</v>
      </c>
      <c r="B4" s="82">
        <v>2</v>
      </c>
      <c r="C4" s="76">
        <v>361</v>
      </c>
      <c r="D4" s="78">
        <v>0</v>
      </c>
      <c r="E4" s="76">
        <v>224</v>
      </c>
      <c r="F4" s="76">
        <v>148</v>
      </c>
      <c r="G4" s="76">
        <v>131</v>
      </c>
      <c r="H4" s="76">
        <v>424</v>
      </c>
      <c r="I4" s="76">
        <v>224</v>
      </c>
      <c r="J4" s="76">
        <v>60</v>
      </c>
      <c r="K4" s="76">
        <v>216</v>
      </c>
      <c r="L4" s="76">
        <v>141</v>
      </c>
      <c r="M4" s="76">
        <v>161</v>
      </c>
      <c r="N4" s="76">
        <v>397</v>
      </c>
      <c r="O4" s="76">
        <v>475</v>
      </c>
      <c r="P4" s="76">
        <v>462</v>
      </c>
      <c r="Q4" s="76">
        <v>664</v>
      </c>
      <c r="R4" s="76">
        <v>302</v>
      </c>
      <c r="T4" s="62">
        <v>2</v>
      </c>
      <c r="U4" s="63" t="s">
        <v>23</v>
      </c>
      <c r="V4">
        <f>Enunciado!D4</f>
        <v>3</v>
      </c>
    </row>
    <row r="5" spans="1:22" ht="15.75" x14ac:dyDescent="0.25">
      <c r="A5" s="83" t="s">
        <v>23</v>
      </c>
      <c r="B5" s="82">
        <v>3</v>
      </c>
      <c r="C5" s="76">
        <v>157</v>
      </c>
      <c r="D5" s="78">
        <v>224</v>
      </c>
      <c r="E5" s="78">
        <v>0</v>
      </c>
      <c r="F5" s="76">
        <v>260</v>
      </c>
      <c r="G5" s="76">
        <v>99.1</v>
      </c>
      <c r="H5" s="76">
        <v>221</v>
      </c>
      <c r="I5" s="76">
        <v>148</v>
      </c>
      <c r="J5" s="76">
        <v>265</v>
      </c>
      <c r="K5" s="76">
        <v>329</v>
      </c>
      <c r="L5" s="76">
        <v>172</v>
      </c>
      <c r="M5" s="76">
        <v>308</v>
      </c>
      <c r="N5" s="76">
        <v>177</v>
      </c>
      <c r="O5" s="76">
        <v>255</v>
      </c>
      <c r="P5" s="76">
        <v>259</v>
      </c>
      <c r="Q5" s="76">
        <v>444</v>
      </c>
      <c r="R5" s="76">
        <v>82.4</v>
      </c>
      <c r="T5" s="62">
        <v>3</v>
      </c>
      <c r="U5" s="63" t="s">
        <v>29</v>
      </c>
      <c r="V5">
        <v>6</v>
      </c>
    </row>
    <row r="6" spans="1:22" ht="15.75" x14ac:dyDescent="0.25">
      <c r="A6" s="83" t="s">
        <v>29</v>
      </c>
      <c r="B6" s="82">
        <v>4</v>
      </c>
      <c r="C6" s="77">
        <v>250</v>
      </c>
      <c r="D6" s="78">
        <v>148</v>
      </c>
      <c r="E6" s="76">
        <v>260</v>
      </c>
      <c r="F6" s="78">
        <v>0</v>
      </c>
      <c r="G6" s="76">
        <v>203</v>
      </c>
      <c r="H6" s="76">
        <v>311</v>
      </c>
      <c r="I6" s="76">
        <v>118</v>
      </c>
      <c r="J6" s="76">
        <v>93</v>
      </c>
      <c r="K6" s="76">
        <v>74</v>
      </c>
      <c r="L6" s="76">
        <v>130</v>
      </c>
      <c r="M6" s="76">
        <v>54</v>
      </c>
      <c r="N6" s="76">
        <v>368</v>
      </c>
      <c r="O6" s="76">
        <v>451</v>
      </c>
      <c r="P6" s="76">
        <v>349</v>
      </c>
      <c r="Q6" s="76">
        <v>551</v>
      </c>
      <c r="R6" s="76">
        <v>295</v>
      </c>
      <c r="T6" s="62">
        <v>4</v>
      </c>
      <c r="U6" s="63" t="s">
        <v>36</v>
      </c>
      <c r="V6">
        <f>Enunciado!D6</f>
        <v>3</v>
      </c>
    </row>
    <row r="7" spans="1:22" ht="15.75" x14ac:dyDescent="0.25">
      <c r="A7" s="83" t="s">
        <v>36</v>
      </c>
      <c r="B7" s="82">
        <v>5</v>
      </c>
      <c r="C7" s="76">
        <v>251</v>
      </c>
      <c r="D7" s="76">
        <v>131</v>
      </c>
      <c r="E7" s="76">
        <v>99.1</v>
      </c>
      <c r="F7" s="76">
        <v>203</v>
      </c>
      <c r="G7" s="78">
        <v>0</v>
      </c>
      <c r="H7" s="77">
        <v>315</v>
      </c>
      <c r="I7" s="77">
        <v>149</v>
      </c>
      <c r="J7" s="77">
        <v>171</v>
      </c>
      <c r="K7" s="77">
        <v>272</v>
      </c>
      <c r="L7" s="77">
        <v>77.900000000000006</v>
      </c>
      <c r="M7" s="77">
        <v>251</v>
      </c>
      <c r="N7" s="77">
        <v>271</v>
      </c>
      <c r="O7" s="77">
        <v>349</v>
      </c>
      <c r="P7" s="77">
        <v>353</v>
      </c>
      <c r="Q7" s="77">
        <v>538</v>
      </c>
      <c r="R7" s="77">
        <v>176</v>
      </c>
      <c r="T7" s="62">
        <v>5</v>
      </c>
      <c r="U7" s="63" t="s">
        <v>44</v>
      </c>
      <c r="V7">
        <f>Enunciado!D7</f>
        <v>8</v>
      </c>
    </row>
    <row r="8" spans="1:22" ht="15.75" x14ac:dyDescent="0.25">
      <c r="A8" s="83" t="s">
        <v>44</v>
      </c>
      <c r="B8" s="82">
        <v>6</v>
      </c>
      <c r="C8" s="76">
        <v>78</v>
      </c>
      <c r="D8" s="76">
        <v>424</v>
      </c>
      <c r="E8" s="76">
        <v>221</v>
      </c>
      <c r="F8" s="76">
        <v>311</v>
      </c>
      <c r="G8" s="77">
        <v>315</v>
      </c>
      <c r="H8" s="79">
        <v>0</v>
      </c>
      <c r="I8" s="76">
        <v>204</v>
      </c>
      <c r="J8" s="76">
        <v>380</v>
      </c>
      <c r="K8" s="76">
        <v>382</v>
      </c>
      <c r="L8" s="76">
        <v>287</v>
      </c>
      <c r="M8" s="76">
        <v>361</v>
      </c>
      <c r="N8" s="76">
        <v>134</v>
      </c>
      <c r="O8" s="76">
        <v>178</v>
      </c>
      <c r="P8" s="76">
        <v>49.5</v>
      </c>
      <c r="Q8" s="76">
        <v>278</v>
      </c>
      <c r="R8" s="76">
        <v>221</v>
      </c>
      <c r="T8" s="62">
        <v>6</v>
      </c>
      <c r="U8" s="63" t="s">
        <v>49</v>
      </c>
      <c r="V8">
        <f>Enunciado!D8</f>
        <v>5</v>
      </c>
    </row>
    <row r="9" spans="1:22" ht="15.75" x14ac:dyDescent="0.25">
      <c r="A9" s="83" t="s">
        <v>49</v>
      </c>
      <c r="B9" s="82">
        <v>7</v>
      </c>
      <c r="C9" s="76">
        <v>140</v>
      </c>
      <c r="D9" s="76">
        <v>224</v>
      </c>
      <c r="E9" s="76">
        <v>148</v>
      </c>
      <c r="F9" s="76">
        <v>118</v>
      </c>
      <c r="G9" s="77">
        <v>149</v>
      </c>
      <c r="H9" s="76">
        <v>204</v>
      </c>
      <c r="I9" s="79">
        <v>0</v>
      </c>
      <c r="J9" s="77">
        <v>179</v>
      </c>
      <c r="K9" s="77">
        <v>188</v>
      </c>
      <c r="L9" s="77">
        <v>85</v>
      </c>
      <c r="M9" s="77">
        <v>166</v>
      </c>
      <c r="N9" s="77">
        <v>260</v>
      </c>
      <c r="O9" s="77">
        <v>343</v>
      </c>
      <c r="P9" s="77">
        <v>242</v>
      </c>
      <c r="Q9" s="77">
        <v>443</v>
      </c>
      <c r="R9" s="77">
        <v>185</v>
      </c>
      <c r="T9" s="62">
        <v>7</v>
      </c>
      <c r="U9" s="63" t="s">
        <v>53</v>
      </c>
      <c r="V9">
        <f>Enunciado!D9</f>
        <v>4</v>
      </c>
    </row>
    <row r="10" spans="1:22" ht="15.75" x14ac:dyDescent="0.25">
      <c r="A10" s="83" t="s">
        <v>53</v>
      </c>
      <c r="B10" s="82">
        <v>8</v>
      </c>
      <c r="C10" s="76">
        <v>316</v>
      </c>
      <c r="D10" s="76">
        <v>60</v>
      </c>
      <c r="E10" s="76">
        <v>265</v>
      </c>
      <c r="F10" s="76">
        <v>93</v>
      </c>
      <c r="G10" s="77">
        <v>171</v>
      </c>
      <c r="H10" s="76">
        <v>380</v>
      </c>
      <c r="I10" s="77">
        <v>179</v>
      </c>
      <c r="J10" s="79">
        <v>0</v>
      </c>
      <c r="K10" s="76">
        <v>160</v>
      </c>
      <c r="L10" s="76">
        <v>97</v>
      </c>
      <c r="M10" s="76">
        <v>105</v>
      </c>
      <c r="N10" s="76">
        <v>436</v>
      </c>
      <c r="O10" s="76">
        <v>519</v>
      </c>
      <c r="P10" s="76">
        <v>417</v>
      </c>
      <c r="Q10" s="76">
        <v>619</v>
      </c>
      <c r="R10" s="76">
        <v>343</v>
      </c>
      <c r="T10" s="62">
        <v>8</v>
      </c>
      <c r="U10" s="63" t="s">
        <v>56</v>
      </c>
      <c r="V10">
        <f>Enunciado!D10</f>
        <v>4</v>
      </c>
    </row>
    <row r="11" spans="1:22" ht="15.75" x14ac:dyDescent="0.25">
      <c r="A11" s="83" t="s">
        <v>56</v>
      </c>
      <c r="B11" s="82">
        <v>9</v>
      </c>
      <c r="C11" s="76">
        <v>318</v>
      </c>
      <c r="D11" s="76">
        <v>216</v>
      </c>
      <c r="E11" s="76">
        <v>329</v>
      </c>
      <c r="F11" s="76">
        <v>74</v>
      </c>
      <c r="G11" s="77">
        <v>272</v>
      </c>
      <c r="H11" s="76">
        <v>382</v>
      </c>
      <c r="I11" s="77">
        <v>188</v>
      </c>
      <c r="J11" s="76">
        <v>160</v>
      </c>
      <c r="K11" s="80">
        <v>0</v>
      </c>
      <c r="L11" s="77">
        <v>199</v>
      </c>
      <c r="M11" s="77">
        <v>62</v>
      </c>
      <c r="N11" s="77">
        <v>439</v>
      </c>
      <c r="O11" s="77">
        <v>521</v>
      </c>
      <c r="P11" s="77">
        <v>419</v>
      </c>
      <c r="Q11" s="77">
        <v>620</v>
      </c>
      <c r="R11" s="77">
        <v>365</v>
      </c>
      <c r="T11" s="62">
        <v>9</v>
      </c>
      <c r="U11" s="63" t="s">
        <v>60</v>
      </c>
      <c r="V11">
        <f>Enunciado!D11</f>
        <v>4</v>
      </c>
    </row>
    <row r="12" spans="1:22" ht="15.75" x14ac:dyDescent="0.25">
      <c r="A12" s="83" t="s">
        <v>60</v>
      </c>
      <c r="B12" s="82">
        <v>10</v>
      </c>
      <c r="C12" s="76">
        <v>223</v>
      </c>
      <c r="D12" s="76">
        <v>141</v>
      </c>
      <c r="E12" s="76">
        <v>172</v>
      </c>
      <c r="F12" s="76">
        <v>130</v>
      </c>
      <c r="G12" s="77">
        <v>77.900000000000006</v>
      </c>
      <c r="H12" s="76">
        <v>287</v>
      </c>
      <c r="I12" s="77">
        <v>85</v>
      </c>
      <c r="J12" s="76">
        <v>97</v>
      </c>
      <c r="K12" s="77">
        <v>199</v>
      </c>
      <c r="L12" s="79">
        <v>0</v>
      </c>
      <c r="M12" s="76">
        <v>178</v>
      </c>
      <c r="N12" s="76">
        <v>343</v>
      </c>
      <c r="O12" s="76">
        <v>426</v>
      </c>
      <c r="P12" s="76">
        <v>325</v>
      </c>
      <c r="Q12" s="76">
        <v>526</v>
      </c>
      <c r="R12" s="76">
        <v>249</v>
      </c>
      <c r="T12" s="62">
        <v>10</v>
      </c>
      <c r="U12" s="63" t="s">
        <v>63</v>
      </c>
      <c r="V12">
        <f>Enunciado!D12</f>
        <v>6</v>
      </c>
    </row>
    <row r="13" spans="1:22" ht="15.75" x14ac:dyDescent="0.25">
      <c r="A13" s="83" t="s">
        <v>63</v>
      </c>
      <c r="B13" s="82">
        <v>11</v>
      </c>
      <c r="C13" s="76">
        <v>297</v>
      </c>
      <c r="D13" s="76">
        <v>161</v>
      </c>
      <c r="E13" s="76">
        <v>308</v>
      </c>
      <c r="F13" s="76">
        <v>54</v>
      </c>
      <c r="G13" s="77">
        <v>251</v>
      </c>
      <c r="H13" s="76">
        <v>361</v>
      </c>
      <c r="I13" s="77">
        <v>166</v>
      </c>
      <c r="J13" s="76">
        <v>105</v>
      </c>
      <c r="K13" s="77">
        <v>62</v>
      </c>
      <c r="L13" s="76">
        <v>178</v>
      </c>
      <c r="M13" s="80">
        <v>0</v>
      </c>
      <c r="N13" s="77">
        <v>418</v>
      </c>
      <c r="O13" s="77">
        <v>502</v>
      </c>
      <c r="P13" s="77">
        <v>400</v>
      </c>
      <c r="Q13" s="77">
        <v>602</v>
      </c>
      <c r="R13" s="77">
        <v>346</v>
      </c>
      <c r="T13" s="62">
        <v>11</v>
      </c>
      <c r="U13" s="63" t="s">
        <v>66</v>
      </c>
      <c r="V13">
        <f>Enunciado!D13</f>
        <v>4</v>
      </c>
    </row>
    <row r="14" spans="1:22" ht="15.75" x14ac:dyDescent="0.25">
      <c r="A14" s="83" t="s">
        <v>66</v>
      </c>
      <c r="B14" s="82">
        <v>12</v>
      </c>
      <c r="C14" s="76">
        <v>123</v>
      </c>
      <c r="D14" s="76">
        <v>397</v>
      </c>
      <c r="E14" s="76">
        <v>177</v>
      </c>
      <c r="F14" s="76">
        <v>368</v>
      </c>
      <c r="G14" s="77">
        <v>271</v>
      </c>
      <c r="H14" s="76">
        <v>134</v>
      </c>
      <c r="I14" s="77">
        <v>260</v>
      </c>
      <c r="J14" s="76">
        <v>436</v>
      </c>
      <c r="K14" s="77">
        <v>439</v>
      </c>
      <c r="L14" s="76">
        <v>343</v>
      </c>
      <c r="M14" s="77">
        <v>418</v>
      </c>
      <c r="N14" s="79">
        <v>0</v>
      </c>
      <c r="O14" s="76">
        <v>80.5</v>
      </c>
      <c r="P14" s="76">
        <v>98.9</v>
      </c>
      <c r="Q14" s="76">
        <v>219</v>
      </c>
      <c r="R14" s="76">
        <v>104</v>
      </c>
      <c r="T14" s="62">
        <v>12</v>
      </c>
      <c r="U14" s="63" t="s">
        <v>69</v>
      </c>
      <c r="V14">
        <f>Enunciado!D14</f>
        <v>3</v>
      </c>
    </row>
    <row r="15" spans="1:22" ht="15.75" x14ac:dyDescent="0.25">
      <c r="A15" s="83" t="s">
        <v>69</v>
      </c>
      <c r="B15" s="82">
        <v>13</v>
      </c>
      <c r="C15" s="76">
        <v>206</v>
      </c>
      <c r="D15" s="76">
        <v>475</v>
      </c>
      <c r="E15" s="76">
        <v>255</v>
      </c>
      <c r="F15" s="76">
        <v>451</v>
      </c>
      <c r="G15" s="77">
        <v>349</v>
      </c>
      <c r="H15" s="76">
        <v>178</v>
      </c>
      <c r="I15" s="77">
        <v>343</v>
      </c>
      <c r="J15" s="76">
        <v>519</v>
      </c>
      <c r="K15" s="77">
        <v>521</v>
      </c>
      <c r="L15" s="76">
        <v>426</v>
      </c>
      <c r="M15" s="77">
        <v>502</v>
      </c>
      <c r="N15" s="76">
        <v>80.5</v>
      </c>
      <c r="O15" s="80">
        <v>0</v>
      </c>
      <c r="P15" s="77">
        <v>143</v>
      </c>
      <c r="Q15" s="77">
        <v>146</v>
      </c>
      <c r="R15" s="77">
        <v>182</v>
      </c>
      <c r="T15" s="62">
        <v>13</v>
      </c>
      <c r="U15" s="63" t="s">
        <v>71</v>
      </c>
      <c r="V15">
        <f>Enunciado!D15</f>
        <v>7</v>
      </c>
    </row>
    <row r="16" spans="1:22" ht="15.75" x14ac:dyDescent="0.25">
      <c r="A16" s="83" t="s">
        <v>71</v>
      </c>
      <c r="B16" s="82">
        <v>14</v>
      </c>
      <c r="C16" s="76">
        <v>117</v>
      </c>
      <c r="D16" s="76">
        <v>462</v>
      </c>
      <c r="E16" s="76">
        <v>259</v>
      </c>
      <c r="F16" s="76">
        <v>349</v>
      </c>
      <c r="G16" s="77">
        <v>353</v>
      </c>
      <c r="H16" s="76">
        <v>49.5</v>
      </c>
      <c r="I16" s="77">
        <v>242</v>
      </c>
      <c r="J16" s="76">
        <v>417</v>
      </c>
      <c r="K16" s="77">
        <v>419</v>
      </c>
      <c r="L16" s="76">
        <v>325</v>
      </c>
      <c r="M16" s="77">
        <v>400</v>
      </c>
      <c r="N16" s="76">
        <v>98.9</v>
      </c>
      <c r="O16" s="77">
        <v>143</v>
      </c>
      <c r="P16" s="79">
        <v>0</v>
      </c>
      <c r="Q16" s="77">
        <v>242</v>
      </c>
      <c r="R16" s="77">
        <v>193</v>
      </c>
      <c r="T16" s="62">
        <v>14</v>
      </c>
      <c r="U16" s="63" t="s">
        <v>74</v>
      </c>
      <c r="V16">
        <f>Enunciado!D16</f>
        <v>7</v>
      </c>
    </row>
    <row r="17" spans="1:22" ht="15.75" x14ac:dyDescent="0.25">
      <c r="A17" s="83" t="s">
        <v>74</v>
      </c>
      <c r="B17" s="82">
        <v>15</v>
      </c>
      <c r="C17" s="76">
        <v>307</v>
      </c>
      <c r="D17" s="76">
        <v>664</v>
      </c>
      <c r="E17" s="76">
        <v>444</v>
      </c>
      <c r="F17" s="76">
        <v>551</v>
      </c>
      <c r="G17" s="77">
        <v>538</v>
      </c>
      <c r="H17" s="76">
        <v>278</v>
      </c>
      <c r="I17" s="77">
        <v>443</v>
      </c>
      <c r="J17" s="76">
        <v>619</v>
      </c>
      <c r="K17" s="77">
        <v>620</v>
      </c>
      <c r="L17" s="76">
        <v>526</v>
      </c>
      <c r="M17" s="77">
        <v>602</v>
      </c>
      <c r="N17" s="76">
        <v>219</v>
      </c>
      <c r="O17" s="77">
        <v>146</v>
      </c>
      <c r="P17" s="77">
        <v>242</v>
      </c>
      <c r="Q17" s="80">
        <v>0</v>
      </c>
      <c r="R17" s="77">
        <v>327</v>
      </c>
      <c r="T17" s="62">
        <v>15</v>
      </c>
      <c r="U17" s="63" t="s">
        <v>77</v>
      </c>
      <c r="V17">
        <f>Enunciado!D17</f>
        <v>3</v>
      </c>
    </row>
    <row r="18" spans="1:22" ht="15.75" x14ac:dyDescent="0.25">
      <c r="A18" s="83" t="s">
        <v>77</v>
      </c>
      <c r="B18" s="82">
        <v>16</v>
      </c>
      <c r="C18" s="76">
        <v>156</v>
      </c>
      <c r="D18" s="76">
        <v>302</v>
      </c>
      <c r="E18" s="76">
        <v>82.4</v>
      </c>
      <c r="F18" s="76">
        <v>295</v>
      </c>
      <c r="G18" s="77">
        <v>176</v>
      </c>
      <c r="H18" s="76">
        <v>221</v>
      </c>
      <c r="I18" s="77">
        <v>185</v>
      </c>
      <c r="J18" s="76">
        <v>343</v>
      </c>
      <c r="K18" s="77">
        <v>365</v>
      </c>
      <c r="L18" s="76">
        <v>249</v>
      </c>
      <c r="M18" s="77">
        <v>346</v>
      </c>
      <c r="N18" s="76">
        <v>104</v>
      </c>
      <c r="O18" s="77">
        <v>182</v>
      </c>
      <c r="P18" s="77">
        <v>193</v>
      </c>
      <c r="Q18" s="77">
        <v>327</v>
      </c>
      <c r="R18" s="78">
        <v>0</v>
      </c>
    </row>
    <row r="21" spans="1:22" x14ac:dyDescent="0.25">
      <c r="B21" s="118" t="s">
        <v>105</v>
      </c>
      <c r="C21" s="118" t="s">
        <v>106</v>
      </c>
      <c r="D21" s="120" t="s">
        <v>107</v>
      </c>
      <c r="E21" s="280"/>
      <c r="F21" s="120"/>
    </row>
    <row r="22" spans="1:22" x14ac:dyDescent="0.25">
      <c r="B22" s="65">
        <v>1</v>
      </c>
      <c r="C22" s="65">
        <v>1</v>
      </c>
      <c r="D22" s="64">
        <v>1</v>
      </c>
      <c r="E22" s="119"/>
      <c r="F22" s="64"/>
    </row>
    <row r="23" spans="1:22" x14ac:dyDescent="0.25">
      <c r="B23" s="65">
        <v>6</v>
      </c>
      <c r="C23" s="65">
        <v>7</v>
      </c>
      <c r="D23" s="64">
        <v>11</v>
      </c>
      <c r="E23" s="119"/>
      <c r="F23" s="64"/>
    </row>
    <row r="24" spans="1:22" x14ac:dyDescent="0.25">
      <c r="B24" s="65">
        <v>14</v>
      </c>
      <c r="C24" s="65">
        <v>10</v>
      </c>
      <c r="D24" s="64">
        <v>9</v>
      </c>
      <c r="E24" s="119"/>
      <c r="F24" s="64"/>
    </row>
    <row r="25" spans="1:22" x14ac:dyDescent="0.25">
      <c r="B25" s="65">
        <v>12</v>
      </c>
      <c r="C25" s="65">
        <v>5</v>
      </c>
      <c r="D25" s="64">
        <v>8</v>
      </c>
      <c r="E25" s="119"/>
      <c r="F25" s="64"/>
    </row>
    <row r="26" spans="1:22" x14ac:dyDescent="0.25">
      <c r="B26" s="281">
        <v>13</v>
      </c>
      <c r="C26" s="65">
        <v>3</v>
      </c>
      <c r="D26" s="64">
        <v>2</v>
      </c>
      <c r="E26" s="119"/>
      <c r="F26" s="64"/>
    </row>
    <row r="27" spans="1:22" x14ac:dyDescent="0.25">
      <c r="B27" s="65">
        <v>1</v>
      </c>
      <c r="C27" s="281">
        <v>16</v>
      </c>
      <c r="D27" s="123">
        <v>15</v>
      </c>
      <c r="E27" s="282"/>
      <c r="F27" s="121"/>
    </row>
    <row r="28" spans="1:22" x14ac:dyDescent="0.25">
      <c r="B28" s="122" t="s">
        <v>108</v>
      </c>
      <c r="C28" s="65">
        <v>4</v>
      </c>
      <c r="D28" s="123">
        <v>1</v>
      </c>
      <c r="E28" s="84"/>
    </row>
    <row r="29" spans="1:22" x14ac:dyDescent="0.25">
      <c r="C29" s="65">
        <v>1</v>
      </c>
      <c r="D29" s="121" t="s">
        <v>109</v>
      </c>
    </row>
    <row r="30" spans="1:22" x14ac:dyDescent="0.25">
      <c r="C30" s="121" t="s">
        <v>110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ED1A9-53CB-4095-B3D0-3DBDA8B3380D}">
  <sheetPr codeName="Folha7"/>
  <dimension ref="B1:AY78"/>
  <sheetViews>
    <sheetView topLeftCell="AM46" zoomScaleNormal="100" workbookViewId="0">
      <selection activeCell="AE18" sqref="AE18"/>
    </sheetView>
  </sheetViews>
  <sheetFormatPr defaultRowHeight="15" x14ac:dyDescent="0.25"/>
  <cols>
    <col min="2" max="2" width="24.140625" customWidth="1"/>
    <col min="3" max="5" width="19.140625" customWidth="1"/>
    <col min="6" max="6" width="17.85546875" customWidth="1"/>
    <col min="9" max="9" width="24.140625" customWidth="1"/>
    <col min="10" max="10" width="19.42578125" customWidth="1"/>
    <col min="11" max="11" width="19.140625" customWidth="1"/>
    <col min="12" max="12" width="19.42578125" customWidth="1"/>
    <col min="13" max="14" width="19.140625" customWidth="1"/>
    <col min="17" max="17" width="24.140625" customWidth="1"/>
    <col min="18" max="18" width="19.140625" customWidth="1"/>
    <col min="19" max="19" width="16.140625" customWidth="1"/>
    <col min="20" max="20" width="16.7109375" customWidth="1"/>
    <col min="21" max="21" width="17.42578125" customWidth="1"/>
    <col min="22" max="22" width="16.85546875" customWidth="1"/>
    <col min="23" max="23" width="16.140625" customWidth="1"/>
    <col min="26" max="26" width="24.140625" customWidth="1"/>
    <col min="27" max="27" width="19.140625" customWidth="1"/>
    <col min="28" max="28" width="19" customWidth="1"/>
    <col min="29" max="31" width="19.140625" customWidth="1"/>
    <col min="34" max="34" width="24.42578125" customWidth="1"/>
    <col min="35" max="36" width="19.140625" customWidth="1"/>
    <col min="37" max="39" width="19.42578125" customWidth="1"/>
    <col min="44" max="44" width="20.7109375" customWidth="1"/>
    <col min="55" max="55" width="9.85546875" customWidth="1"/>
  </cols>
  <sheetData>
    <row r="1" spans="2:51" ht="15.75" thickBot="1" x14ac:dyDescent="0.3"/>
    <row r="2" spans="2:51" x14ac:dyDescent="0.25">
      <c r="B2" s="347" t="s">
        <v>105</v>
      </c>
      <c r="C2" s="348"/>
      <c r="D2" s="348"/>
      <c r="E2" s="348"/>
      <c r="F2" s="349"/>
      <c r="I2" s="347" t="s">
        <v>106</v>
      </c>
      <c r="J2" s="348"/>
      <c r="K2" s="348"/>
      <c r="L2" s="348"/>
      <c r="M2" s="350"/>
      <c r="N2" s="349"/>
      <c r="Q2" s="351" t="s">
        <v>107</v>
      </c>
      <c r="R2" s="348"/>
      <c r="S2" s="348"/>
      <c r="T2" s="348"/>
      <c r="U2" s="348"/>
      <c r="V2" s="350"/>
      <c r="W2" s="349"/>
      <c r="Z2" s="351" t="s">
        <v>111</v>
      </c>
      <c r="AA2" s="348"/>
      <c r="AB2" s="348"/>
      <c r="AC2" s="348"/>
      <c r="AD2" s="348"/>
      <c r="AE2" s="349"/>
      <c r="AH2" s="352" t="s">
        <v>112</v>
      </c>
      <c r="AI2" s="353"/>
      <c r="AJ2" s="353"/>
      <c r="AK2" s="353"/>
      <c r="AL2" s="353"/>
      <c r="AM2" s="354"/>
      <c r="AQ2" s="355" t="s">
        <v>113</v>
      </c>
      <c r="AR2" s="356"/>
      <c r="AS2" s="356"/>
      <c r="AT2" s="356"/>
      <c r="AU2" s="356"/>
      <c r="AV2" s="356"/>
      <c r="AW2" s="356"/>
      <c r="AX2" s="356"/>
      <c r="AY2" s="357"/>
    </row>
    <row r="3" spans="2:51" x14ac:dyDescent="0.25">
      <c r="B3" s="146" t="s">
        <v>114</v>
      </c>
      <c r="C3" s="147" t="s">
        <v>115</v>
      </c>
      <c r="D3" s="147" t="s">
        <v>44</v>
      </c>
      <c r="E3" s="148" t="s">
        <v>71</v>
      </c>
      <c r="F3" s="149" t="s">
        <v>116</v>
      </c>
      <c r="I3" s="68" t="s">
        <v>114</v>
      </c>
      <c r="J3" s="70" t="s">
        <v>115</v>
      </c>
      <c r="K3" s="70" t="s">
        <v>66</v>
      </c>
      <c r="L3" s="70" t="s">
        <v>69</v>
      </c>
      <c r="M3" s="85" t="s">
        <v>74</v>
      </c>
      <c r="N3" s="71" t="s">
        <v>116</v>
      </c>
      <c r="Q3" s="68" t="s">
        <v>114</v>
      </c>
      <c r="R3" s="70" t="s">
        <v>115</v>
      </c>
      <c r="S3" s="70" t="s">
        <v>49</v>
      </c>
      <c r="T3" s="70" t="s">
        <v>60</v>
      </c>
      <c r="U3" s="70" t="s">
        <v>36</v>
      </c>
      <c r="V3" s="85" t="s">
        <v>23</v>
      </c>
      <c r="W3" s="71" t="s">
        <v>116</v>
      </c>
      <c r="Z3" s="68" t="s">
        <v>114</v>
      </c>
      <c r="AA3" s="70" t="s">
        <v>115</v>
      </c>
      <c r="AB3" s="70" t="s">
        <v>77</v>
      </c>
      <c r="AC3" s="70" t="s">
        <v>29</v>
      </c>
      <c r="AD3" s="70" t="s">
        <v>63</v>
      </c>
      <c r="AE3" s="71" t="s">
        <v>116</v>
      </c>
      <c r="AH3" s="68" t="s">
        <v>114</v>
      </c>
      <c r="AI3" s="70" t="s">
        <v>115</v>
      </c>
      <c r="AJ3" s="70" t="s">
        <v>53</v>
      </c>
      <c r="AK3" s="70" t="s">
        <v>19</v>
      </c>
      <c r="AL3" s="70" t="s">
        <v>56</v>
      </c>
      <c r="AM3" s="71" t="s">
        <v>116</v>
      </c>
      <c r="AQ3" s="358" t="s">
        <v>117</v>
      </c>
      <c r="AR3" s="359"/>
      <c r="AS3" s="359"/>
      <c r="AT3" s="359"/>
      <c r="AU3" s="359"/>
      <c r="AV3" s="359"/>
      <c r="AW3" s="359"/>
      <c r="AX3" s="359"/>
      <c r="AY3" s="360"/>
    </row>
    <row r="4" spans="2:51" x14ac:dyDescent="0.25">
      <c r="B4" s="68" t="s">
        <v>118</v>
      </c>
      <c r="C4" s="75">
        <v>0.28819444444444442</v>
      </c>
      <c r="D4" s="75">
        <f>C7+C8+C6</f>
        <v>0.34444444444444444</v>
      </c>
      <c r="E4" s="86">
        <f>D7+D8+D6</f>
        <v>0.38263888888888892</v>
      </c>
      <c r="F4" s="106"/>
      <c r="I4" s="68" t="s">
        <v>118</v>
      </c>
      <c r="J4" s="113">
        <v>0.24027777777777778</v>
      </c>
      <c r="K4" s="113">
        <f>J7+J8+J6</f>
        <v>0.33888888888888891</v>
      </c>
      <c r="L4" s="113">
        <f>K7+K8+K6</f>
        <v>0.40138888888888891</v>
      </c>
      <c r="M4" s="115">
        <f>L6+L7+L8</f>
        <v>0.52430555555555558</v>
      </c>
      <c r="N4" s="116"/>
      <c r="Q4" s="68" t="s">
        <v>118</v>
      </c>
      <c r="R4" s="113">
        <v>0.25277777777777777</v>
      </c>
      <c r="S4" s="113">
        <f>R7+R6+R8</f>
        <v>0.34027777777777773</v>
      </c>
      <c r="T4" s="113">
        <f>S6+S7+S8</f>
        <v>0.39583333333333326</v>
      </c>
      <c r="U4" s="113">
        <f>T6+T7+T8</f>
        <v>0.53124999999999989</v>
      </c>
      <c r="V4" s="115">
        <f>U6+U7+U8</f>
        <v>0.59374999999999989</v>
      </c>
      <c r="W4" s="116"/>
      <c r="Z4" s="68" t="s">
        <v>118</v>
      </c>
      <c r="AA4" s="113">
        <v>0.22638888888888889</v>
      </c>
      <c r="AB4" s="113">
        <f>AA7+AA8+AA6</f>
        <v>0.33749999999999997</v>
      </c>
      <c r="AC4" s="113">
        <f t="shared" ref="AC4:AD4" si="0">AB7+AB8+AB6</f>
        <v>0.55902777777777768</v>
      </c>
      <c r="AD4" s="113">
        <f t="shared" si="0"/>
        <v>0.59930555555555542</v>
      </c>
      <c r="AE4" s="116"/>
      <c r="AH4" s="68" t="s">
        <v>118</v>
      </c>
      <c r="AI4" s="113">
        <v>0.16666666666666666</v>
      </c>
      <c r="AJ4" s="113">
        <f>AI7+AI6+AI8</f>
        <v>0.35</v>
      </c>
      <c r="AK4" s="113">
        <f t="shared" ref="AK4:AL4" si="1">AJ7+AJ6+AJ8</f>
        <v>0.42083333333333328</v>
      </c>
      <c r="AL4" s="113">
        <f t="shared" si="1"/>
        <v>0.54930555555555549</v>
      </c>
      <c r="AM4" s="116"/>
      <c r="AQ4" s="358"/>
      <c r="AR4" s="359"/>
      <c r="AS4" s="359" t="s">
        <v>119</v>
      </c>
      <c r="AT4" s="359"/>
      <c r="AU4" s="359"/>
      <c r="AV4" s="359"/>
      <c r="AW4" s="359"/>
      <c r="AX4" s="359"/>
      <c r="AY4" s="360"/>
    </row>
    <row r="5" spans="2:51" x14ac:dyDescent="0.25">
      <c r="B5" s="68" t="s">
        <v>120</v>
      </c>
      <c r="C5" s="170">
        <f>Duração!G23</f>
        <v>4.5138888888888888E-2</v>
      </c>
      <c r="D5" s="170">
        <f>Duração!O28</f>
        <v>2.8472222222222222E-2</v>
      </c>
      <c r="E5" s="171">
        <f>Duração!O23</f>
        <v>6.7361111111111108E-2</v>
      </c>
      <c r="F5" s="172">
        <f>C5+D5+E5</f>
        <v>0.14097222222222222</v>
      </c>
      <c r="I5" s="68" t="s">
        <v>121</v>
      </c>
      <c r="J5" s="170">
        <f>Duração!M23</f>
        <v>9.3055555555555558E-2</v>
      </c>
      <c r="K5" s="170">
        <f>Duração!N34</f>
        <v>5.8333333333333334E-2</v>
      </c>
      <c r="L5" s="170">
        <f>Duração!P35</f>
        <v>8.1944444444444445E-2</v>
      </c>
      <c r="M5" s="171">
        <f>Duração!P23</f>
        <v>0.1736111111111111</v>
      </c>
      <c r="N5" s="172">
        <f>J5+K5+L5+M5</f>
        <v>0.40694444444444444</v>
      </c>
      <c r="Q5" s="68" t="s">
        <v>121</v>
      </c>
      <c r="R5" s="170">
        <f>Duração!H23</f>
        <v>8.0555555555555561E-2</v>
      </c>
      <c r="S5" s="170">
        <f>Duração!K29</f>
        <v>0.05</v>
      </c>
      <c r="T5" s="170">
        <f>Duração!L32</f>
        <v>0.1</v>
      </c>
      <c r="U5" s="170">
        <f>Duração!F26</f>
        <v>5.8333333333333334E-2</v>
      </c>
      <c r="V5" s="171">
        <f>Duração!E23</f>
        <v>8.8888888888888892E-2</v>
      </c>
      <c r="W5" s="172">
        <f>R5+S5+T5+U5+V5</f>
        <v>0.37777777777777782</v>
      </c>
      <c r="Z5" s="68" t="s">
        <v>121</v>
      </c>
      <c r="AA5" s="170">
        <f>Duração!Q23</f>
        <v>0.10694444444444444</v>
      </c>
      <c r="AB5" s="170">
        <f>Duração!Q24</f>
        <v>0.18194444444444444</v>
      </c>
      <c r="AC5" s="170">
        <f>Duração!L24</f>
        <v>3.1944444444444442E-2</v>
      </c>
      <c r="AD5" s="170">
        <f>Duração!L23</f>
        <v>0.16666666666666666</v>
      </c>
      <c r="AE5" s="172">
        <f>AD5+AC5+AB5+AA5</f>
        <v>0.48749999999999999</v>
      </c>
      <c r="AH5" s="68" t="s">
        <v>121</v>
      </c>
      <c r="AI5" s="170">
        <f>Duração!I23</f>
        <v>0.17777777777777778</v>
      </c>
      <c r="AJ5" s="170">
        <f>Duração!I25</f>
        <v>3.5416666666666666E-2</v>
      </c>
      <c r="AK5" s="170">
        <f>Duração!J25</f>
        <v>0.12291666666666666</v>
      </c>
      <c r="AL5" s="170">
        <f>Duração!J23</f>
        <v>0.17847222222222223</v>
      </c>
      <c r="AM5" s="172">
        <f>AI5+AJ5+AK5+AL5</f>
        <v>0.51458333333333339</v>
      </c>
      <c r="AQ5" s="358"/>
      <c r="AR5" s="359"/>
      <c r="AS5" s="66" t="s">
        <v>122</v>
      </c>
      <c r="AT5" s="66" t="s">
        <v>123</v>
      </c>
      <c r="AU5" s="66" t="s">
        <v>124</v>
      </c>
      <c r="AV5" s="66" t="s">
        <v>125</v>
      </c>
      <c r="AW5" s="66" t="s">
        <v>126</v>
      </c>
      <c r="AX5" s="66" t="s">
        <v>127</v>
      </c>
      <c r="AY5" s="67" t="s">
        <v>128</v>
      </c>
    </row>
    <row r="6" spans="2:51" x14ac:dyDescent="0.25">
      <c r="B6" s="68" t="s">
        <v>129</v>
      </c>
      <c r="C6" s="170">
        <v>0</v>
      </c>
      <c r="D6" s="170">
        <v>0</v>
      </c>
      <c r="E6" s="173" t="s">
        <v>130</v>
      </c>
      <c r="F6" s="172">
        <v>0</v>
      </c>
      <c r="I6" s="68" t="s">
        <v>129</v>
      </c>
      <c r="J6" s="170">
        <v>0</v>
      </c>
      <c r="K6" s="170">
        <v>0</v>
      </c>
      <c r="L6" s="170">
        <v>3.125E-2</v>
      </c>
      <c r="M6" s="173" t="s">
        <v>130</v>
      </c>
      <c r="N6" s="172">
        <v>3.125E-2</v>
      </c>
      <c r="Q6" s="68" t="s">
        <v>129</v>
      </c>
      <c r="R6" s="125">
        <v>0</v>
      </c>
      <c r="S6" s="113">
        <v>0</v>
      </c>
      <c r="T6" s="113">
        <v>3.125E-2</v>
      </c>
      <c r="U6" s="113">
        <v>0</v>
      </c>
      <c r="V6" s="124" t="s">
        <v>130</v>
      </c>
      <c r="W6" s="126">
        <v>3.125E-2</v>
      </c>
      <c r="Z6" s="68" t="s">
        <v>129</v>
      </c>
      <c r="AA6" s="170">
        <v>0</v>
      </c>
      <c r="AB6" s="170">
        <v>3.125E-2</v>
      </c>
      <c r="AC6" s="170">
        <v>0</v>
      </c>
      <c r="AD6" s="174" t="s">
        <v>130</v>
      </c>
      <c r="AE6" s="172">
        <v>3.125E-2</v>
      </c>
      <c r="AH6" s="68" t="s">
        <v>129</v>
      </c>
      <c r="AI6" s="170">
        <v>0</v>
      </c>
      <c r="AJ6" s="170">
        <v>3.125E-2</v>
      </c>
      <c r="AK6" s="170">
        <v>0</v>
      </c>
      <c r="AL6" s="174" t="s">
        <v>130</v>
      </c>
      <c r="AM6" s="172">
        <v>3.125E-2</v>
      </c>
      <c r="AQ6" s="346" t="s">
        <v>131</v>
      </c>
      <c r="AR6" s="130" t="s">
        <v>132</v>
      </c>
      <c r="AS6" s="135" t="s">
        <v>105</v>
      </c>
      <c r="AT6" s="137" t="s">
        <v>106</v>
      </c>
      <c r="AU6" s="136" t="s">
        <v>107</v>
      </c>
      <c r="AV6" s="183" t="s">
        <v>111</v>
      </c>
      <c r="AW6" s="183" t="s">
        <v>111</v>
      </c>
      <c r="AX6" s="138" t="s">
        <v>112</v>
      </c>
      <c r="AY6" s="138" t="s">
        <v>112</v>
      </c>
    </row>
    <row r="7" spans="2:51" x14ac:dyDescent="0.25">
      <c r="B7" s="68" t="s">
        <v>133</v>
      </c>
      <c r="C7" s="75">
        <f>C4+C5</f>
        <v>0.33333333333333331</v>
      </c>
      <c r="D7" s="75">
        <f t="shared" ref="D7:E7" si="2">D4+D5</f>
        <v>0.37291666666666667</v>
      </c>
      <c r="E7" s="75">
        <f t="shared" si="2"/>
        <v>0.45</v>
      </c>
      <c r="F7" s="114"/>
      <c r="G7" s="110"/>
      <c r="H7" s="110"/>
      <c r="I7" s="111" t="s">
        <v>133</v>
      </c>
      <c r="J7" s="75">
        <f>J4+J5</f>
        <v>0.33333333333333337</v>
      </c>
      <c r="K7" s="75">
        <f t="shared" ref="K7:M7" si="3">K4+K5</f>
        <v>0.39722222222222225</v>
      </c>
      <c r="L7" s="75">
        <f t="shared" si="3"/>
        <v>0.48333333333333334</v>
      </c>
      <c r="M7" s="75">
        <f t="shared" si="3"/>
        <v>0.69791666666666674</v>
      </c>
      <c r="N7" s="114"/>
      <c r="O7" s="110"/>
      <c r="P7" s="110"/>
      <c r="Q7" s="111" t="s">
        <v>133</v>
      </c>
      <c r="R7" s="75">
        <f>R4+R5</f>
        <v>0.33333333333333331</v>
      </c>
      <c r="S7" s="75">
        <f t="shared" ref="S7:V7" si="4">S4+S5</f>
        <v>0.39027777777777772</v>
      </c>
      <c r="T7" s="75">
        <f t="shared" si="4"/>
        <v>0.49583333333333324</v>
      </c>
      <c r="U7" s="75">
        <f t="shared" si="4"/>
        <v>0.58958333333333324</v>
      </c>
      <c r="V7" s="75">
        <f t="shared" si="4"/>
        <v>0.6826388888888888</v>
      </c>
      <c r="W7" s="114"/>
      <c r="X7" s="110"/>
      <c r="Y7" s="110"/>
      <c r="Z7" s="111" t="s">
        <v>133</v>
      </c>
      <c r="AA7" s="75">
        <f>AA4+AA5</f>
        <v>0.33333333333333331</v>
      </c>
      <c r="AB7" s="75">
        <f t="shared" ref="AB7:AD7" si="5">AB4+AB5</f>
        <v>0.51944444444444438</v>
      </c>
      <c r="AC7" s="75">
        <f t="shared" si="5"/>
        <v>0.59097222222222212</v>
      </c>
      <c r="AD7" s="75">
        <f t="shared" si="5"/>
        <v>0.76597222222222205</v>
      </c>
      <c r="AE7" s="114"/>
      <c r="AF7" s="110"/>
      <c r="AG7" s="110"/>
      <c r="AH7" s="111" t="s">
        <v>133</v>
      </c>
      <c r="AI7" s="75">
        <f>AI4+AI5</f>
        <v>0.34444444444444444</v>
      </c>
      <c r="AJ7" s="75">
        <f t="shared" ref="AJ7:AL7" si="6">AJ4+AJ5</f>
        <v>0.38541666666666663</v>
      </c>
      <c r="AK7" s="75">
        <f t="shared" si="6"/>
        <v>0.54374999999999996</v>
      </c>
      <c r="AL7" s="75">
        <f t="shared" si="6"/>
        <v>0.72777777777777775</v>
      </c>
      <c r="AM7" s="114"/>
      <c r="AQ7" s="346"/>
      <c r="AR7" s="130" t="s">
        <v>134</v>
      </c>
      <c r="AS7" s="135" t="s">
        <v>135</v>
      </c>
      <c r="AT7" s="137" t="s">
        <v>136</v>
      </c>
      <c r="AU7" s="136" t="s">
        <v>137</v>
      </c>
      <c r="AV7" s="183" t="s">
        <v>138</v>
      </c>
      <c r="AW7" s="183" t="s">
        <v>139</v>
      </c>
      <c r="AX7" s="138" t="s">
        <v>140</v>
      </c>
      <c r="AY7" s="138" t="s">
        <v>141</v>
      </c>
    </row>
    <row r="8" spans="2:51" x14ac:dyDescent="0.25">
      <c r="B8" s="68" t="s">
        <v>142</v>
      </c>
      <c r="C8" s="75">
        <v>1.1111111111111112E-2</v>
      </c>
      <c r="D8" s="75">
        <v>9.7222222222222224E-3</v>
      </c>
      <c r="E8" s="108"/>
      <c r="F8" s="109">
        <v>2.0833333333333332E-2</v>
      </c>
      <c r="I8" s="68" t="s">
        <v>143</v>
      </c>
      <c r="J8" s="75">
        <v>5.5555555555555558E-3</v>
      </c>
      <c r="K8" s="75">
        <v>4.1666666666666666E-3</v>
      </c>
      <c r="L8" s="75">
        <v>9.7222222222222224E-3</v>
      </c>
      <c r="M8" s="112"/>
      <c r="N8" s="109">
        <v>1.9444444444444445E-2</v>
      </c>
      <c r="O8" s="110"/>
      <c r="P8" s="110"/>
      <c r="Q8" s="111" t="s">
        <v>143</v>
      </c>
      <c r="R8" s="75">
        <v>6.9444444444444441E-3</v>
      </c>
      <c r="S8" s="75">
        <v>5.5555555555555558E-3</v>
      </c>
      <c r="T8" s="75">
        <v>4.1666666666666666E-3</v>
      </c>
      <c r="U8" s="75">
        <v>4.1666666666666666E-3</v>
      </c>
      <c r="V8" s="112"/>
      <c r="W8" s="109">
        <v>2.0833333333333332E-2</v>
      </c>
      <c r="X8" s="110"/>
      <c r="Y8" s="110"/>
      <c r="Z8" s="111" t="s">
        <v>143</v>
      </c>
      <c r="AA8" s="75">
        <v>4.1666666666666666E-3</v>
      </c>
      <c r="AB8" s="75">
        <v>8.3333333333333332E-3</v>
      </c>
      <c r="AC8" s="75">
        <v>8.3333333333333332E-3</v>
      </c>
      <c r="AD8" s="117"/>
      <c r="AE8" s="109">
        <v>2.0833333333333332E-2</v>
      </c>
      <c r="AF8" s="110"/>
      <c r="AG8" s="110"/>
      <c r="AH8" s="111" t="s">
        <v>143</v>
      </c>
      <c r="AI8" s="75">
        <v>5.5555555555555558E-3</v>
      </c>
      <c r="AJ8" s="75">
        <v>4.1666666666666666E-3</v>
      </c>
      <c r="AK8" s="75">
        <v>5.5555555555555558E-3</v>
      </c>
      <c r="AL8" s="117"/>
      <c r="AM8" s="109">
        <v>1.5277777777777777E-2</v>
      </c>
      <c r="AQ8" s="346"/>
      <c r="AR8" s="130" t="s">
        <v>118</v>
      </c>
      <c r="AS8" s="139">
        <v>0.28819444444444442</v>
      </c>
      <c r="AT8" s="141">
        <v>0.24027777777777778</v>
      </c>
      <c r="AU8" s="140">
        <v>0.25277777777777777</v>
      </c>
      <c r="AV8" s="184">
        <v>0.22638888888888889</v>
      </c>
      <c r="AW8" s="184">
        <v>0.22638888888888889</v>
      </c>
      <c r="AX8" s="142">
        <v>0.16666666666666666</v>
      </c>
      <c r="AY8" s="142">
        <v>0.16666666666666666</v>
      </c>
    </row>
    <row r="9" spans="2:51" x14ac:dyDescent="0.25">
      <c r="B9" s="68" t="s">
        <v>144</v>
      </c>
      <c r="C9" s="73" t="s">
        <v>145</v>
      </c>
      <c r="D9" s="73" t="s">
        <v>145</v>
      </c>
      <c r="E9" s="87" t="s">
        <v>145</v>
      </c>
      <c r="F9" s="74">
        <v>1</v>
      </c>
      <c r="I9" s="68" t="s">
        <v>144</v>
      </c>
      <c r="J9" s="66" t="s">
        <v>145</v>
      </c>
      <c r="K9" s="66" t="s">
        <v>145</v>
      </c>
      <c r="L9" s="66" t="s">
        <v>145</v>
      </c>
      <c r="M9" s="89" t="s">
        <v>145</v>
      </c>
      <c r="N9" s="67">
        <v>1</v>
      </c>
      <c r="Q9" s="68" t="s">
        <v>144</v>
      </c>
      <c r="R9" s="66" t="s">
        <v>145</v>
      </c>
      <c r="S9" s="66" t="s">
        <v>145</v>
      </c>
      <c r="T9" s="66" t="s">
        <v>145</v>
      </c>
      <c r="U9" s="66" t="s">
        <v>145</v>
      </c>
      <c r="V9" s="89" t="s">
        <v>145</v>
      </c>
      <c r="W9" s="67">
        <v>1</v>
      </c>
      <c r="Z9" s="68" t="s">
        <v>144</v>
      </c>
      <c r="AA9" s="66" t="s">
        <v>145</v>
      </c>
      <c r="AB9" s="66" t="s">
        <v>145</v>
      </c>
      <c r="AC9" s="66" t="s">
        <v>146</v>
      </c>
      <c r="AD9" s="66" t="s">
        <v>146</v>
      </c>
      <c r="AE9" s="67">
        <v>2</v>
      </c>
      <c r="AH9" s="68" t="s">
        <v>144</v>
      </c>
      <c r="AI9" s="66" t="s">
        <v>145</v>
      </c>
      <c r="AJ9" s="66" t="s">
        <v>145</v>
      </c>
      <c r="AK9" s="66" t="s">
        <v>146</v>
      </c>
      <c r="AL9" s="66" t="s">
        <v>146</v>
      </c>
      <c r="AM9" s="67">
        <v>2</v>
      </c>
      <c r="AQ9" s="346"/>
      <c r="AR9" s="130" t="s">
        <v>133</v>
      </c>
      <c r="AS9" s="139">
        <v>0.45</v>
      </c>
      <c r="AT9" s="141">
        <v>0.69791666666666663</v>
      </c>
      <c r="AU9" s="140">
        <v>0.68263888888888891</v>
      </c>
      <c r="AV9" s="184">
        <v>0.76597222222222228</v>
      </c>
      <c r="AW9" s="184">
        <v>0.76597222222222228</v>
      </c>
      <c r="AX9" s="142">
        <v>0.72777777777777775</v>
      </c>
      <c r="AY9" s="142">
        <v>0.72777777777777775</v>
      </c>
    </row>
    <row r="10" spans="2:51" x14ac:dyDescent="0.25">
      <c r="B10" s="68" t="s">
        <v>147</v>
      </c>
      <c r="C10" s="91">
        <f>Enunciado!D7</f>
        <v>8</v>
      </c>
      <c r="D10" s="91">
        <f>Enunciado!D15</f>
        <v>7</v>
      </c>
      <c r="E10" s="92">
        <v>0</v>
      </c>
      <c r="F10" s="262">
        <f>SUM(C10:E10)</f>
        <v>15</v>
      </c>
      <c r="I10" s="68" t="s">
        <v>147</v>
      </c>
      <c r="J10" s="66">
        <f>Enunciado!D13</f>
        <v>4</v>
      </c>
      <c r="K10" s="66">
        <f>Enunciado!D14</f>
        <v>3</v>
      </c>
      <c r="L10" s="66">
        <f>Enunciado!D16</f>
        <v>7</v>
      </c>
      <c r="M10" s="89">
        <v>0</v>
      </c>
      <c r="N10" s="263">
        <f>SUM(J10:M10)</f>
        <v>14</v>
      </c>
      <c r="Q10" s="68" t="s">
        <v>147</v>
      </c>
      <c r="R10" s="66">
        <f>Enunciado!D8</f>
        <v>5</v>
      </c>
      <c r="S10" s="66">
        <f>Enunciado!D11</f>
        <v>4</v>
      </c>
      <c r="T10" s="66">
        <f>Enunciado!D6</f>
        <v>3</v>
      </c>
      <c r="U10" s="66">
        <f>Enunciado!D4</f>
        <v>3</v>
      </c>
      <c r="V10" s="89">
        <v>0</v>
      </c>
      <c r="W10" s="263">
        <f>SUM(R10:V10)</f>
        <v>15</v>
      </c>
      <c r="Z10" s="68" t="s">
        <v>147</v>
      </c>
      <c r="AA10" s="66">
        <f>Enunciado!D17</f>
        <v>3</v>
      </c>
      <c r="AB10" s="66">
        <f>Enunciado!D5</f>
        <v>10</v>
      </c>
      <c r="AC10" s="66">
        <f>Enunciado!D12</f>
        <v>6</v>
      </c>
      <c r="AD10" s="66">
        <v>0</v>
      </c>
      <c r="AE10" s="284">
        <f>SUM(AA10:AD10)</f>
        <v>19</v>
      </c>
      <c r="AH10" s="68" t="s">
        <v>147</v>
      </c>
      <c r="AI10" s="66">
        <f>Enunciado!D9</f>
        <v>4</v>
      </c>
      <c r="AJ10" s="66">
        <f>Enunciado!D3</f>
        <v>3</v>
      </c>
      <c r="AK10" s="66">
        <f>Enunciado!D10</f>
        <v>4</v>
      </c>
      <c r="AL10" s="66">
        <v>0</v>
      </c>
      <c r="AM10" s="263">
        <f>SUM(AI10:AL10)</f>
        <v>11</v>
      </c>
      <c r="AQ10" s="346" t="s">
        <v>148</v>
      </c>
      <c r="AR10" s="130" t="s">
        <v>132</v>
      </c>
      <c r="AS10" s="138" t="s">
        <v>112</v>
      </c>
      <c r="AT10" s="183" t="s">
        <v>111</v>
      </c>
      <c r="AU10" s="138" t="s">
        <v>112</v>
      </c>
      <c r="AV10" s="135" t="s">
        <v>105</v>
      </c>
      <c r="AW10" s="136" t="s">
        <v>107</v>
      </c>
      <c r="AX10" s="137" t="s">
        <v>106</v>
      </c>
      <c r="AY10" s="183" t="s">
        <v>111</v>
      </c>
    </row>
    <row r="11" spans="2:51" x14ac:dyDescent="0.25">
      <c r="B11" s="68" t="s">
        <v>149</v>
      </c>
      <c r="C11" s="73">
        <v>78</v>
      </c>
      <c r="D11" s="73">
        <v>50</v>
      </c>
      <c r="E11" s="87">
        <v>117</v>
      </c>
      <c r="F11" s="74">
        <f>SUM(C11:E11)</f>
        <v>245</v>
      </c>
      <c r="I11" s="68" t="s">
        <v>149</v>
      </c>
      <c r="J11" s="66">
        <v>123</v>
      </c>
      <c r="K11" s="66">
        <v>81</v>
      </c>
      <c r="L11" s="66">
        <v>146</v>
      </c>
      <c r="M11" s="89">
        <v>307</v>
      </c>
      <c r="N11" s="67">
        <f>SUM(J11:M11)</f>
        <v>657</v>
      </c>
      <c r="Q11" s="68" t="s">
        <v>149</v>
      </c>
      <c r="R11" s="66">
        <v>140</v>
      </c>
      <c r="S11" s="66">
        <v>85</v>
      </c>
      <c r="T11" s="66">
        <v>78</v>
      </c>
      <c r="U11" s="66">
        <v>99</v>
      </c>
      <c r="V11" s="89">
        <v>157</v>
      </c>
      <c r="W11" s="67">
        <f>SUM(R11:V11)</f>
        <v>559</v>
      </c>
      <c r="Z11" s="68" t="s">
        <v>149</v>
      </c>
      <c r="AA11" s="66">
        <v>156</v>
      </c>
      <c r="AB11" s="66">
        <v>295</v>
      </c>
      <c r="AC11" s="66">
        <v>54</v>
      </c>
      <c r="AD11" s="66">
        <v>297</v>
      </c>
      <c r="AE11" s="67">
        <f>SUM(AA11:AD11)</f>
        <v>802</v>
      </c>
      <c r="AH11" s="68" t="s">
        <v>149</v>
      </c>
      <c r="AI11" s="66">
        <v>316</v>
      </c>
      <c r="AJ11" s="66">
        <v>60</v>
      </c>
      <c r="AK11" s="66">
        <v>216</v>
      </c>
      <c r="AL11" s="66">
        <v>318</v>
      </c>
      <c r="AM11" s="67">
        <f>SUM(AI11:AL11)</f>
        <v>910</v>
      </c>
      <c r="AQ11" s="346"/>
      <c r="AR11" s="130" t="s">
        <v>134</v>
      </c>
      <c r="AS11" s="138" t="s">
        <v>141</v>
      </c>
      <c r="AT11" s="183" t="s">
        <v>139</v>
      </c>
      <c r="AU11" s="138" t="s">
        <v>140</v>
      </c>
      <c r="AV11" s="135" t="s">
        <v>135</v>
      </c>
      <c r="AW11" s="136" t="s">
        <v>137</v>
      </c>
      <c r="AX11" s="137" t="s">
        <v>136</v>
      </c>
      <c r="AY11" s="183" t="s">
        <v>138</v>
      </c>
    </row>
    <row r="12" spans="2:51" x14ac:dyDescent="0.25">
      <c r="B12" s="68" t="s">
        <v>150</v>
      </c>
      <c r="C12" s="127">
        <f>Portagens!G3</f>
        <v>4.05</v>
      </c>
      <c r="D12" s="127">
        <f>Portagens!O8</f>
        <v>2.35</v>
      </c>
      <c r="E12" s="128">
        <f>Portagens!O3</f>
        <v>10.3</v>
      </c>
      <c r="F12" s="283">
        <f>SUM(C12:E12)</f>
        <v>16.700000000000003</v>
      </c>
      <c r="I12" s="68" t="s">
        <v>150</v>
      </c>
      <c r="J12" s="127">
        <f>Portagens!M3</f>
        <v>2.15</v>
      </c>
      <c r="K12" s="127">
        <f>Portagens!N14</f>
        <v>0</v>
      </c>
      <c r="L12" s="127">
        <f>Portagens!P15</f>
        <v>7.1</v>
      </c>
      <c r="M12" s="128">
        <f>Portagens!P3</f>
        <v>27.4</v>
      </c>
      <c r="N12" s="283">
        <f>SUM(J12:M12)</f>
        <v>36.65</v>
      </c>
      <c r="Q12" s="68" t="s">
        <v>150</v>
      </c>
      <c r="R12" s="127">
        <f>Portagens!H3</f>
        <v>11.1</v>
      </c>
      <c r="S12" s="127">
        <f>Portagens!K9</f>
        <v>0</v>
      </c>
      <c r="T12" s="127">
        <f>Portagens!K7</f>
        <v>2.5499999999999998</v>
      </c>
      <c r="U12" s="127">
        <f>Portagens!F6</f>
        <v>3.1</v>
      </c>
      <c r="V12" s="128">
        <f>Portagens!E3</f>
        <v>7.35</v>
      </c>
      <c r="W12" s="286">
        <f>SUM(R12:V12)</f>
        <v>24.1</v>
      </c>
      <c r="Z12" s="68" t="s">
        <v>150</v>
      </c>
      <c r="AA12" s="127">
        <f>Portagens!Q3</f>
        <v>4.4000000000000004</v>
      </c>
      <c r="AB12" s="127">
        <f>Portagens!Q4</f>
        <v>10.7</v>
      </c>
      <c r="AC12" s="127">
        <f>Portagens!L4</f>
        <v>3.6</v>
      </c>
      <c r="AD12" s="127">
        <f>Portagens!L3</f>
        <v>23</v>
      </c>
      <c r="AE12" s="283">
        <f>SUM(AA12:AD12)</f>
        <v>41.7</v>
      </c>
      <c r="AH12" s="68" t="s">
        <v>150</v>
      </c>
      <c r="AI12" s="127">
        <f>Portagens!I3</f>
        <v>14.55</v>
      </c>
      <c r="AJ12" s="127">
        <f>Portagens!I5</f>
        <v>0</v>
      </c>
      <c r="AK12" s="127">
        <f>Portagens!J5</f>
        <v>8.15</v>
      </c>
      <c r="AL12" s="127">
        <f>Portagens!J3</f>
        <v>21.8</v>
      </c>
      <c r="AM12" s="283">
        <f>SUM(AI12:AL12)</f>
        <v>44.5</v>
      </c>
      <c r="AQ12" s="346"/>
      <c r="AR12" s="130" t="s">
        <v>118</v>
      </c>
      <c r="AS12" s="142">
        <v>0.16666666666666666</v>
      </c>
      <c r="AT12" s="184">
        <v>0.22638888888888889</v>
      </c>
      <c r="AU12" s="142">
        <v>0.16666666666666666</v>
      </c>
      <c r="AV12" s="139">
        <v>0.28819444444444442</v>
      </c>
      <c r="AW12" s="140">
        <v>0.25277777777777777</v>
      </c>
      <c r="AX12" s="141">
        <v>0.24027777777777778</v>
      </c>
      <c r="AY12" s="184">
        <v>0.22638888888888889</v>
      </c>
    </row>
    <row r="13" spans="2:51" ht="15.75" thickBot="1" x14ac:dyDescent="0.3">
      <c r="B13" s="69" t="s">
        <v>151</v>
      </c>
      <c r="C13" s="70" t="s">
        <v>44</v>
      </c>
      <c r="D13" s="85" t="s">
        <v>71</v>
      </c>
      <c r="E13" s="85" t="s">
        <v>152</v>
      </c>
      <c r="F13" s="107"/>
      <c r="I13" s="69" t="s">
        <v>151</v>
      </c>
      <c r="J13" s="70" t="s">
        <v>66</v>
      </c>
      <c r="K13" s="70" t="s">
        <v>69</v>
      </c>
      <c r="L13" s="85" t="s">
        <v>74</v>
      </c>
      <c r="M13" s="90" t="s">
        <v>152</v>
      </c>
      <c r="N13" s="107"/>
      <c r="Q13" s="69" t="s">
        <v>151</v>
      </c>
      <c r="R13" s="72" t="s">
        <v>49</v>
      </c>
      <c r="S13" s="72" t="s">
        <v>60</v>
      </c>
      <c r="T13" s="72" t="s">
        <v>36</v>
      </c>
      <c r="U13" s="88" t="s">
        <v>23</v>
      </c>
      <c r="V13" s="88" t="s">
        <v>152</v>
      </c>
      <c r="W13" s="107"/>
      <c r="Z13" s="69" t="s">
        <v>151</v>
      </c>
      <c r="AA13" s="70" t="s">
        <v>77</v>
      </c>
      <c r="AB13" s="70" t="s">
        <v>29</v>
      </c>
      <c r="AC13" s="70" t="s">
        <v>63</v>
      </c>
      <c r="AD13" s="72" t="s">
        <v>152</v>
      </c>
      <c r="AE13" s="107"/>
      <c r="AH13" s="69" t="s">
        <v>151</v>
      </c>
      <c r="AI13" s="70" t="s">
        <v>53</v>
      </c>
      <c r="AJ13" s="70" t="s">
        <v>19</v>
      </c>
      <c r="AK13" s="70" t="s">
        <v>56</v>
      </c>
      <c r="AL13" s="72" t="s">
        <v>152</v>
      </c>
      <c r="AM13" s="107"/>
      <c r="AQ13" s="346"/>
      <c r="AR13" s="130" t="s">
        <v>133</v>
      </c>
      <c r="AS13" s="142">
        <v>0.72777777777777775</v>
      </c>
      <c r="AT13" s="184">
        <v>0.76597222222222228</v>
      </c>
      <c r="AU13" s="142">
        <v>0.72777777777777775</v>
      </c>
      <c r="AV13" s="139">
        <v>0.45</v>
      </c>
      <c r="AW13" s="140">
        <v>0.68263888888888891</v>
      </c>
      <c r="AX13" s="141">
        <v>0.69791666666666663</v>
      </c>
      <c r="AY13" s="184">
        <v>0.76597222222222228</v>
      </c>
    </row>
    <row r="14" spans="2:51" x14ac:dyDescent="0.25">
      <c r="AQ14" s="346" t="s">
        <v>153</v>
      </c>
      <c r="AR14" s="130" t="s">
        <v>132</v>
      </c>
      <c r="AS14" s="183" t="s">
        <v>111</v>
      </c>
      <c r="AT14" s="136" t="s">
        <v>107</v>
      </c>
      <c r="AU14" s="137" t="s">
        <v>106</v>
      </c>
      <c r="AV14" s="138" t="s">
        <v>112</v>
      </c>
      <c r="AW14" s="138" t="s">
        <v>112</v>
      </c>
      <c r="AX14" s="183" t="s">
        <v>111</v>
      </c>
      <c r="AY14" s="135" t="s">
        <v>105</v>
      </c>
    </row>
    <row r="15" spans="2:51" x14ac:dyDescent="0.25">
      <c r="B15" s="105" t="s">
        <v>154</v>
      </c>
      <c r="C15" t="s">
        <v>155</v>
      </c>
      <c r="I15" s="16" t="s">
        <v>66</v>
      </c>
      <c r="J15" s="20">
        <v>4</v>
      </c>
      <c r="Q15" s="17" t="s">
        <v>49</v>
      </c>
      <c r="R15" s="22">
        <v>5</v>
      </c>
      <c r="Z15" s="16" t="s">
        <v>77</v>
      </c>
      <c r="AA15" s="20">
        <v>3</v>
      </c>
      <c r="AH15" s="16" t="s">
        <v>53</v>
      </c>
      <c r="AI15" s="20">
        <v>4</v>
      </c>
      <c r="AQ15" s="346"/>
      <c r="AR15" s="130" t="s">
        <v>134</v>
      </c>
      <c r="AS15" s="183" t="s">
        <v>138</v>
      </c>
      <c r="AT15" s="136" t="s">
        <v>137</v>
      </c>
      <c r="AU15" s="137" t="s">
        <v>136</v>
      </c>
      <c r="AV15" s="138" t="s">
        <v>141</v>
      </c>
      <c r="AW15" s="138" t="s">
        <v>140</v>
      </c>
      <c r="AX15" s="183" t="s">
        <v>139</v>
      </c>
      <c r="AY15" s="135" t="s">
        <v>135</v>
      </c>
    </row>
    <row r="16" spans="2:51" x14ac:dyDescent="0.25">
      <c r="B16" t="s">
        <v>71</v>
      </c>
      <c r="C16" t="s">
        <v>156</v>
      </c>
      <c r="I16" s="17" t="s">
        <v>69</v>
      </c>
      <c r="J16" s="22">
        <v>3</v>
      </c>
      <c r="Q16" s="16" t="s">
        <v>60</v>
      </c>
      <c r="R16" s="20">
        <v>4</v>
      </c>
      <c r="Z16" s="16" t="s">
        <v>29</v>
      </c>
      <c r="AA16" s="20">
        <v>6</v>
      </c>
      <c r="AH16" s="16" t="s">
        <v>19</v>
      </c>
      <c r="AI16" s="20">
        <v>3</v>
      </c>
      <c r="AQ16" s="346"/>
      <c r="AR16" s="130" t="s">
        <v>118</v>
      </c>
      <c r="AS16" s="184">
        <v>0.22638888888888889</v>
      </c>
      <c r="AT16" s="140">
        <v>0.25277777777777777</v>
      </c>
      <c r="AU16" s="141">
        <v>0.24027777777777778</v>
      </c>
      <c r="AV16" s="142">
        <v>0.16666666666666666</v>
      </c>
      <c r="AW16" s="142">
        <v>0.16666666666666666</v>
      </c>
      <c r="AX16" s="184">
        <v>0.22638888888888889</v>
      </c>
      <c r="AY16" s="139">
        <v>0.28819444444444442</v>
      </c>
    </row>
    <row r="17" spans="5:51" x14ac:dyDescent="0.25">
      <c r="I17" s="17" t="s">
        <v>74</v>
      </c>
      <c r="J17" s="22">
        <v>7</v>
      </c>
      <c r="Q17" s="18" t="s">
        <v>36</v>
      </c>
      <c r="R17" s="22">
        <v>3</v>
      </c>
      <c r="Z17" s="17" t="s">
        <v>63</v>
      </c>
      <c r="AA17" s="22">
        <v>6</v>
      </c>
      <c r="AH17" s="17" t="s">
        <v>56</v>
      </c>
      <c r="AI17" s="22">
        <v>4</v>
      </c>
      <c r="AQ17" s="346"/>
      <c r="AR17" s="130" t="s">
        <v>133</v>
      </c>
      <c r="AS17" s="184">
        <v>0.76597222222222228</v>
      </c>
      <c r="AT17" s="140">
        <v>0.68263888888888891</v>
      </c>
      <c r="AU17" s="141">
        <v>0.69791666666666663</v>
      </c>
      <c r="AV17" s="142">
        <v>0.72777777777777775</v>
      </c>
      <c r="AW17" s="142">
        <v>0.72777777777777775</v>
      </c>
      <c r="AX17" s="184">
        <v>0.76597222222222228</v>
      </c>
      <c r="AY17" s="139">
        <v>0.45</v>
      </c>
    </row>
    <row r="18" spans="5:51" x14ac:dyDescent="0.25">
      <c r="Q18" s="17" t="s">
        <v>23</v>
      </c>
      <c r="R18" s="22">
        <v>3</v>
      </c>
      <c r="AQ18" s="346" t="s">
        <v>157</v>
      </c>
      <c r="AR18" s="130" t="s">
        <v>132</v>
      </c>
      <c r="AS18" s="135" t="s">
        <v>105</v>
      </c>
      <c r="AT18" s="138" t="s">
        <v>112</v>
      </c>
      <c r="AU18" s="183" t="s">
        <v>111</v>
      </c>
      <c r="AV18" s="183" t="s">
        <v>111</v>
      </c>
      <c r="AW18" s="137" t="s">
        <v>106</v>
      </c>
      <c r="AX18" s="136" t="s">
        <v>107</v>
      </c>
      <c r="AY18" s="138" t="s">
        <v>112</v>
      </c>
    </row>
    <row r="19" spans="5:51" x14ac:dyDescent="0.25">
      <c r="E19" s="212"/>
      <c r="AQ19" s="346"/>
      <c r="AR19" s="130" t="s">
        <v>134</v>
      </c>
      <c r="AS19" s="135" t="s">
        <v>135</v>
      </c>
      <c r="AT19" s="138" t="s">
        <v>140</v>
      </c>
      <c r="AU19" s="183" t="s">
        <v>139</v>
      </c>
      <c r="AV19" s="183" t="s">
        <v>138</v>
      </c>
      <c r="AW19" s="137" t="s">
        <v>136</v>
      </c>
      <c r="AX19" s="136" t="s">
        <v>137</v>
      </c>
      <c r="AY19" s="138" t="s">
        <v>141</v>
      </c>
    </row>
    <row r="20" spans="5:51" x14ac:dyDescent="0.25">
      <c r="AQ20" s="346"/>
      <c r="AR20" s="130" t="s">
        <v>118</v>
      </c>
      <c r="AS20" s="139">
        <v>0.28819444444444442</v>
      </c>
      <c r="AT20" s="142">
        <v>0.16666666666666666</v>
      </c>
      <c r="AU20" s="184">
        <v>0.22638888888888889</v>
      </c>
      <c r="AV20" s="184">
        <v>0.22638888888888889</v>
      </c>
      <c r="AW20" s="141">
        <v>0.24027777777777778</v>
      </c>
      <c r="AX20" s="140">
        <v>0.25277777777777777</v>
      </c>
      <c r="AY20" s="142">
        <v>0.16666666666666666</v>
      </c>
    </row>
    <row r="21" spans="5:51" x14ac:dyDescent="0.25">
      <c r="AQ21" s="346"/>
      <c r="AR21" s="130" t="s">
        <v>133</v>
      </c>
      <c r="AS21" s="139">
        <v>0.45</v>
      </c>
      <c r="AT21" s="142">
        <v>0.72777777777777775</v>
      </c>
      <c r="AU21" s="184">
        <v>0.76597222222222228</v>
      </c>
      <c r="AV21" s="184">
        <v>0.76597222222222228</v>
      </c>
      <c r="AW21" s="141">
        <v>0.69791666666666663</v>
      </c>
      <c r="AX21" s="140">
        <v>0.68263888888888891</v>
      </c>
      <c r="AY21" s="142">
        <v>0.72777777777777775</v>
      </c>
    </row>
    <row r="22" spans="5:51" x14ac:dyDescent="0.25">
      <c r="AQ22" s="346" t="s">
        <v>158</v>
      </c>
      <c r="AR22" s="130" t="s">
        <v>132</v>
      </c>
      <c r="AS22" s="137" t="s">
        <v>106</v>
      </c>
      <c r="AT22" s="183" t="s">
        <v>111</v>
      </c>
      <c r="AU22" s="135" t="s">
        <v>105</v>
      </c>
      <c r="AV22" s="136" t="s">
        <v>107</v>
      </c>
      <c r="AW22" s="138" t="s">
        <v>112</v>
      </c>
      <c r="AX22" s="138" t="s">
        <v>112</v>
      </c>
      <c r="AY22" s="183" t="s">
        <v>111</v>
      </c>
    </row>
    <row r="23" spans="5:51" x14ac:dyDescent="0.25">
      <c r="AQ23" s="346"/>
      <c r="AR23" s="130" t="s">
        <v>134</v>
      </c>
      <c r="AS23" s="137" t="s">
        <v>136</v>
      </c>
      <c r="AT23" s="183" t="s">
        <v>138</v>
      </c>
      <c r="AU23" s="135" t="s">
        <v>135</v>
      </c>
      <c r="AV23" s="136" t="s">
        <v>137</v>
      </c>
      <c r="AW23" s="138" t="s">
        <v>140</v>
      </c>
      <c r="AX23" s="138" t="s">
        <v>141</v>
      </c>
      <c r="AY23" s="183" t="s">
        <v>139</v>
      </c>
    </row>
    <row r="24" spans="5:51" x14ac:dyDescent="0.25">
      <c r="AQ24" s="346"/>
      <c r="AR24" s="130" t="s">
        <v>118</v>
      </c>
      <c r="AS24" s="141">
        <v>0.24027777777777778</v>
      </c>
      <c r="AT24" s="184">
        <v>0.22638888888888889</v>
      </c>
      <c r="AU24" s="139">
        <v>0.28819444444444442</v>
      </c>
      <c r="AV24" s="140">
        <v>0.25277777777777777</v>
      </c>
      <c r="AW24" s="142">
        <v>0.16666666666666666</v>
      </c>
      <c r="AX24" s="142">
        <v>0.16666666666666666</v>
      </c>
      <c r="AY24" s="184">
        <v>0.22638888888888889</v>
      </c>
    </row>
    <row r="25" spans="5:51" x14ac:dyDescent="0.25">
      <c r="AQ25" s="346"/>
      <c r="AR25" s="130" t="s">
        <v>133</v>
      </c>
      <c r="AS25" s="141">
        <v>0.69791666666666663</v>
      </c>
      <c r="AT25" s="184">
        <v>0.76597222222222228</v>
      </c>
      <c r="AU25" s="139">
        <v>0.45</v>
      </c>
      <c r="AV25" s="140">
        <v>0.68263888888888891</v>
      </c>
      <c r="AW25" s="142">
        <v>0.72777777777777775</v>
      </c>
      <c r="AX25" s="142">
        <v>0.72777777777777775</v>
      </c>
      <c r="AY25" s="184">
        <v>0.76597222222222228</v>
      </c>
    </row>
    <row r="26" spans="5:51" x14ac:dyDescent="0.25">
      <c r="AQ26" s="346" t="s">
        <v>159</v>
      </c>
      <c r="AR26" s="130" t="s">
        <v>132</v>
      </c>
      <c r="AS26" s="136" t="s">
        <v>107</v>
      </c>
      <c r="AT26" s="135" t="s">
        <v>105</v>
      </c>
      <c r="AU26" s="138" t="s">
        <v>112</v>
      </c>
      <c r="AV26" s="138" t="s">
        <v>112</v>
      </c>
      <c r="AW26" s="183" t="s">
        <v>111</v>
      </c>
      <c r="AX26" s="183" t="s">
        <v>111</v>
      </c>
      <c r="AY26" s="137" t="s">
        <v>106</v>
      </c>
    </row>
    <row r="27" spans="5:51" x14ac:dyDescent="0.25">
      <c r="AQ27" s="346"/>
      <c r="AR27" s="130" t="s">
        <v>134</v>
      </c>
      <c r="AS27" s="136" t="s">
        <v>137</v>
      </c>
      <c r="AT27" s="135" t="s">
        <v>135</v>
      </c>
      <c r="AU27" s="138" t="s">
        <v>141</v>
      </c>
      <c r="AV27" s="138" t="s">
        <v>140</v>
      </c>
      <c r="AW27" s="183" t="s">
        <v>138</v>
      </c>
      <c r="AX27" s="183" t="s">
        <v>139</v>
      </c>
      <c r="AY27" s="137" t="s">
        <v>136</v>
      </c>
    </row>
    <row r="28" spans="5:51" x14ac:dyDescent="0.25">
      <c r="AQ28" s="346"/>
      <c r="AR28" s="130" t="s">
        <v>118</v>
      </c>
      <c r="AS28" s="140">
        <v>0.25277777777777777</v>
      </c>
      <c r="AT28" s="139">
        <v>0.28819444444444442</v>
      </c>
      <c r="AU28" s="142">
        <v>0.16666666666666666</v>
      </c>
      <c r="AV28" s="142">
        <v>0.16666666666666666</v>
      </c>
      <c r="AW28" s="184">
        <v>0.22638888888888889</v>
      </c>
      <c r="AX28" s="184">
        <v>0.22638888888888889</v>
      </c>
      <c r="AY28" s="141">
        <v>0.24027777777777778</v>
      </c>
    </row>
    <row r="29" spans="5:51" x14ac:dyDescent="0.25">
      <c r="AQ29" s="346"/>
      <c r="AR29" s="130" t="s">
        <v>133</v>
      </c>
      <c r="AS29" s="140">
        <v>0.68263888888888891</v>
      </c>
      <c r="AT29" s="139">
        <v>0.45</v>
      </c>
      <c r="AU29" s="142">
        <v>0.72777777777777775</v>
      </c>
      <c r="AV29" s="142">
        <v>0.72777777777777775</v>
      </c>
      <c r="AW29" s="184">
        <v>0.76597222222222228</v>
      </c>
      <c r="AX29" s="184">
        <v>0.76597222222222228</v>
      </c>
      <c r="AY29" s="141">
        <v>0.69791666666666663</v>
      </c>
    </row>
    <row r="30" spans="5:51" x14ac:dyDescent="0.25">
      <c r="AQ30" s="361" t="s">
        <v>160</v>
      </c>
      <c r="AR30" s="362"/>
      <c r="AS30" s="161" t="s">
        <v>161</v>
      </c>
      <c r="AT30" s="161" t="s">
        <v>162</v>
      </c>
      <c r="AU30" s="161" t="s">
        <v>163</v>
      </c>
      <c r="AV30" s="161" t="s">
        <v>164</v>
      </c>
      <c r="AW30" s="161" t="s">
        <v>165</v>
      </c>
      <c r="AX30" s="161" t="s">
        <v>166</v>
      </c>
      <c r="AY30" s="162" t="s">
        <v>167</v>
      </c>
    </row>
    <row r="31" spans="5:51" x14ac:dyDescent="0.25">
      <c r="AQ31" s="358" t="s">
        <v>168</v>
      </c>
      <c r="AR31" s="359"/>
      <c r="AS31" s="359"/>
      <c r="AT31" s="359"/>
      <c r="AU31" s="359"/>
      <c r="AV31" s="359"/>
      <c r="AW31" s="359"/>
      <c r="AX31" s="359"/>
      <c r="AY31" s="360"/>
    </row>
    <row r="32" spans="5:51" x14ac:dyDescent="0.25">
      <c r="AQ32" s="358"/>
      <c r="AR32" s="359"/>
      <c r="AS32" s="359" t="s">
        <v>119</v>
      </c>
      <c r="AT32" s="359"/>
      <c r="AU32" s="359"/>
      <c r="AV32" s="359"/>
      <c r="AW32" s="359"/>
      <c r="AX32" s="359"/>
      <c r="AY32" s="360"/>
    </row>
    <row r="33" spans="43:51" x14ac:dyDescent="0.25">
      <c r="AQ33" s="358"/>
      <c r="AR33" s="359"/>
      <c r="AS33" s="66" t="s">
        <v>122</v>
      </c>
      <c r="AT33" s="66" t="s">
        <v>123</v>
      </c>
      <c r="AU33" s="66" t="s">
        <v>124</v>
      </c>
      <c r="AV33" s="66" t="s">
        <v>125</v>
      </c>
      <c r="AW33" s="66" t="s">
        <v>126</v>
      </c>
      <c r="AX33" s="66" t="s">
        <v>127</v>
      </c>
      <c r="AY33" s="67" t="s">
        <v>128</v>
      </c>
    </row>
    <row r="34" spans="43:51" x14ac:dyDescent="0.25">
      <c r="AQ34" s="346" t="s">
        <v>131</v>
      </c>
      <c r="AR34" s="130" t="s">
        <v>132</v>
      </c>
      <c r="AS34" s="138" t="s">
        <v>112</v>
      </c>
      <c r="AT34" s="138" t="s">
        <v>112</v>
      </c>
      <c r="AU34" s="136" t="s">
        <v>107</v>
      </c>
      <c r="AV34" s="183" t="s">
        <v>111</v>
      </c>
      <c r="AW34" s="183" t="s">
        <v>111</v>
      </c>
      <c r="AX34" s="137" t="s">
        <v>106</v>
      </c>
      <c r="AY34" s="135" t="s">
        <v>105</v>
      </c>
    </row>
    <row r="35" spans="43:51" x14ac:dyDescent="0.25">
      <c r="AQ35" s="346"/>
      <c r="AR35" s="130" t="s">
        <v>134</v>
      </c>
      <c r="AS35" s="138" t="s">
        <v>141</v>
      </c>
      <c r="AT35" s="138" t="s">
        <v>140</v>
      </c>
      <c r="AU35" s="136" t="s">
        <v>137</v>
      </c>
      <c r="AV35" s="183" t="s">
        <v>139</v>
      </c>
      <c r="AW35" s="183" t="s">
        <v>138</v>
      </c>
      <c r="AX35" s="137" t="s">
        <v>136</v>
      </c>
      <c r="AY35" s="135" t="s">
        <v>135</v>
      </c>
    </row>
    <row r="36" spans="43:51" x14ac:dyDescent="0.25">
      <c r="AQ36" s="346"/>
      <c r="AR36" s="130" t="s">
        <v>118</v>
      </c>
      <c r="AS36" s="142">
        <v>0.16666666666666666</v>
      </c>
      <c r="AT36" s="142">
        <v>0.16666666666666666</v>
      </c>
      <c r="AU36" s="140">
        <v>0.25277777777777777</v>
      </c>
      <c r="AV36" s="184">
        <v>0.22638888888888889</v>
      </c>
      <c r="AW36" s="184">
        <v>0.22638888888888889</v>
      </c>
      <c r="AX36" s="141">
        <v>0.24027777777777778</v>
      </c>
      <c r="AY36" s="139">
        <v>0.28819444444444442</v>
      </c>
    </row>
    <row r="37" spans="43:51" x14ac:dyDescent="0.25">
      <c r="AQ37" s="346"/>
      <c r="AR37" s="130" t="s">
        <v>133</v>
      </c>
      <c r="AS37" s="142">
        <v>0.72777777777777775</v>
      </c>
      <c r="AT37" s="142">
        <v>0.72777777777777775</v>
      </c>
      <c r="AU37" s="140">
        <v>0.68263888888888891</v>
      </c>
      <c r="AV37" s="184">
        <v>0.76597222222222228</v>
      </c>
      <c r="AW37" s="184">
        <v>0.76597222222222228</v>
      </c>
      <c r="AX37" s="141">
        <v>0.69791666666666663</v>
      </c>
      <c r="AY37" s="139">
        <v>0.45</v>
      </c>
    </row>
    <row r="38" spans="43:51" x14ac:dyDescent="0.25">
      <c r="AQ38" s="346" t="s">
        <v>148</v>
      </c>
      <c r="AR38" s="130" t="s">
        <v>132</v>
      </c>
      <c r="AS38" s="183" t="s">
        <v>111</v>
      </c>
      <c r="AT38" s="137" t="s">
        <v>106</v>
      </c>
      <c r="AU38" s="138" t="s">
        <v>112</v>
      </c>
      <c r="AV38" s="136" t="s">
        <v>107</v>
      </c>
      <c r="AW38" s="135" t="s">
        <v>105</v>
      </c>
      <c r="AX38" s="183" t="s">
        <v>111</v>
      </c>
      <c r="AY38" s="138" t="s">
        <v>112</v>
      </c>
    </row>
    <row r="39" spans="43:51" x14ac:dyDescent="0.25">
      <c r="AQ39" s="346"/>
      <c r="AR39" s="130" t="s">
        <v>134</v>
      </c>
      <c r="AS39" s="183" t="s">
        <v>138</v>
      </c>
      <c r="AT39" s="137" t="s">
        <v>136</v>
      </c>
      <c r="AU39" s="138" t="s">
        <v>140</v>
      </c>
      <c r="AV39" s="136" t="s">
        <v>137</v>
      </c>
      <c r="AW39" s="135" t="s">
        <v>135</v>
      </c>
      <c r="AX39" s="183" t="s">
        <v>139</v>
      </c>
      <c r="AY39" s="138" t="s">
        <v>141</v>
      </c>
    </row>
    <row r="40" spans="43:51" x14ac:dyDescent="0.25">
      <c r="AQ40" s="346"/>
      <c r="AR40" s="130" t="s">
        <v>118</v>
      </c>
      <c r="AS40" s="184">
        <v>0.22638888888888889</v>
      </c>
      <c r="AT40" s="141">
        <v>0.24027777777777778</v>
      </c>
      <c r="AU40" s="142">
        <v>0.16666666666666666</v>
      </c>
      <c r="AV40" s="140">
        <v>0.25277777777777777</v>
      </c>
      <c r="AW40" s="139">
        <v>0.28819444444444442</v>
      </c>
      <c r="AX40" s="184">
        <v>0.22638888888888889</v>
      </c>
      <c r="AY40" s="142">
        <v>0.16666666666666666</v>
      </c>
    </row>
    <row r="41" spans="43:51" x14ac:dyDescent="0.25">
      <c r="AQ41" s="346"/>
      <c r="AR41" s="130" t="s">
        <v>133</v>
      </c>
      <c r="AS41" s="184">
        <v>0.76597222222222228</v>
      </c>
      <c r="AT41" s="141">
        <v>0.69791666666666663</v>
      </c>
      <c r="AU41" s="142">
        <v>0.72777777777777775</v>
      </c>
      <c r="AV41" s="140">
        <v>0.68263888888888891</v>
      </c>
      <c r="AW41" s="139">
        <v>0.45</v>
      </c>
      <c r="AX41" s="184">
        <v>0.76597222222222228</v>
      </c>
      <c r="AY41" s="142">
        <v>0.72777777777777775</v>
      </c>
    </row>
    <row r="42" spans="43:51" x14ac:dyDescent="0.25">
      <c r="AQ42" s="346" t="s">
        <v>153</v>
      </c>
      <c r="AR42" s="130" t="s">
        <v>132</v>
      </c>
      <c r="AS42" s="135" t="s">
        <v>105</v>
      </c>
      <c r="AT42" s="183" t="s">
        <v>111</v>
      </c>
      <c r="AU42" s="137" t="s">
        <v>106</v>
      </c>
      <c r="AV42" s="138" t="s">
        <v>112</v>
      </c>
      <c r="AW42" s="138" t="s">
        <v>112</v>
      </c>
      <c r="AX42" s="136" t="s">
        <v>107</v>
      </c>
      <c r="AY42" s="183" t="s">
        <v>111</v>
      </c>
    </row>
    <row r="43" spans="43:51" x14ac:dyDescent="0.25">
      <c r="AQ43" s="346"/>
      <c r="AR43" s="130" t="s">
        <v>134</v>
      </c>
      <c r="AS43" s="135" t="s">
        <v>135</v>
      </c>
      <c r="AT43" s="183" t="s">
        <v>139</v>
      </c>
      <c r="AU43" s="137" t="s">
        <v>136</v>
      </c>
      <c r="AV43" s="138" t="s">
        <v>140</v>
      </c>
      <c r="AW43" s="138" t="s">
        <v>141</v>
      </c>
      <c r="AX43" s="136" t="s">
        <v>137</v>
      </c>
      <c r="AY43" s="183" t="s">
        <v>138</v>
      </c>
    </row>
    <row r="44" spans="43:51" x14ac:dyDescent="0.25">
      <c r="AQ44" s="346"/>
      <c r="AR44" s="130" t="s">
        <v>118</v>
      </c>
      <c r="AS44" s="139">
        <v>0.28819444444444442</v>
      </c>
      <c r="AT44" s="184">
        <v>0.22638888888888889</v>
      </c>
      <c r="AU44" s="141">
        <v>0.24027777777777778</v>
      </c>
      <c r="AV44" s="142">
        <v>0.16666666666666666</v>
      </c>
      <c r="AW44" s="142">
        <v>0.16666666666666666</v>
      </c>
      <c r="AX44" s="140">
        <v>0.25277777777777777</v>
      </c>
      <c r="AY44" s="184">
        <v>0.22638888888888889</v>
      </c>
    </row>
    <row r="45" spans="43:51" x14ac:dyDescent="0.25">
      <c r="AQ45" s="346"/>
      <c r="AR45" s="130" t="s">
        <v>133</v>
      </c>
      <c r="AS45" s="139">
        <v>0.45</v>
      </c>
      <c r="AT45" s="184">
        <v>0.76597222222222228</v>
      </c>
      <c r="AU45" s="141">
        <v>0.69791666666666663</v>
      </c>
      <c r="AV45" s="142">
        <v>0.72777777777777775</v>
      </c>
      <c r="AW45" s="142">
        <v>0.72777777777777775</v>
      </c>
      <c r="AX45" s="140">
        <v>0.68263888888888891</v>
      </c>
      <c r="AY45" s="184">
        <v>0.76597222222222228</v>
      </c>
    </row>
    <row r="46" spans="43:51" x14ac:dyDescent="0.25">
      <c r="AQ46" s="346" t="s">
        <v>157</v>
      </c>
      <c r="AR46" s="130" t="s">
        <v>132</v>
      </c>
      <c r="AS46" s="138" t="s">
        <v>112</v>
      </c>
      <c r="AT46" s="136" t="s">
        <v>107</v>
      </c>
      <c r="AU46" s="183" t="s">
        <v>111</v>
      </c>
      <c r="AV46" s="137" t="s">
        <v>106</v>
      </c>
      <c r="AW46" s="183" t="s">
        <v>111</v>
      </c>
      <c r="AX46" s="138" t="s">
        <v>112</v>
      </c>
      <c r="AY46" s="135" t="s">
        <v>105</v>
      </c>
    </row>
    <row r="47" spans="43:51" x14ac:dyDescent="0.25">
      <c r="AQ47" s="346"/>
      <c r="AR47" s="130" t="s">
        <v>134</v>
      </c>
      <c r="AS47" s="138" t="s">
        <v>141</v>
      </c>
      <c r="AT47" s="136" t="s">
        <v>137</v>
      </c>
      <c r="AU47" s="183" t="s">
        <v>139</v>
      </c>
      <c r="AV47" s="137" t="s">
        <v>136</v>
      </c>
      <c r="AW47" s="183" t="s">
        <v>138</v>
      </c>
      <c r="AX47" s="138" t="s">
        <v>140</v>
      </c>
      <c r="AY47" s="135" t="s">
        <v>135</v>
      </c>
    </row>
    <row r="48" spans="43:51" x14ac:dyDescent="0.25">
      <c r="AQ48" s="346"/>
      <c r="AR48" s="130" t="s">
        <v>118</v>
      </c>
      <c r="AS48" s="142">
        <v>0.16666666666666666</v>
      </c>
      <c r="AT48" s="140">
        <v>0.25277777777777777</v>
      </c>
      <c r="AU48" s="184">
        <v>0.22638888888888889</v>
      </c>
      <c r="AV48" s="141">
        <v>0.24027777777777778</v>
      </c>
      <c r="AW48" s="184">
        <v>0.22638888888888889</v>
      </c>
      <c r="AX48" s="142">
        <v>0.16666666666666666</v>
      </c>
      <c r="AY48" s="139">
        <v>0.28819444444444442</v>
      </c>
    </row>
    <row r="49" spans="43:51" x14ac:dyDescent="0.25">
      <c r="AQ49" s="346"/>
      <c r="AR49" s="130" t="s">
        <v>133</v>
      </c>
      <c r="AS49" s="142">
        <v>0.72777777777777775</v>
      </c>
      <c r="AT49" s="140">
        <v>0.68263888888888891</v>
      </c>
      <c r="AU49" s="184">
        <v>0.76597222222222228</v>
      </c>
      <c r="AV49" s="141">
        <v>0.69791666666666663</v>
      </c>
      <c r="AW49" s="184">
        <v>0.76597222222222228</v>
      </c>
      <c r="AX49" s="142">
        <v>0.72777777777777775</v>
      </c>
      <c r="AY49" s="139">
        <v>0.45</v>
      </c>
    </row>
    <row r="50" spans="43:51" x14ac:dyDescent="0.25">
      <c r="AQ50" s="346" t="s">
        <v>158</v>
      </c>
      <c r="AR50" s="130" t="s">
        <v>132</v>
      </c>
      <c r="AS50" s="183" t="s">
        <v>111</v>
      </c>
      <c r="AT50" s="138" t="s">
        <v>112</v>
      </c>
      <c r="AU50" s="135" t="s">
        <v>105</v>
      </c>
      <c r="AV50" s="138" t="s">
        <v>112</v>
      </c>
      <c r="AW50" s="136" t="s">
        <v>107</v>
      </c>
      <c r="AX50" s="183" t="s">
        <v>111</v>
      </c>
      <c r="AY50" s="137" t="s">
        <v>106</v>
      </c>
    </row>
    <row r="51" spans="43:51" x14ac:dyDescent="0.25">
      <c r="AQ51" s="346"/>
      <c r="AR51" s="130" t="s">
        <v>134</v>
      </c>
      <c r="AS51" s="183" t="s">
        <v>139</v>
      </c>
      <c r="AT51" s="138" t="s">
        <v>141</v>
      </c>
      <c r="AU51" s="135" t="s">
        <v>135</v>
      </c>
      <c r="AV51" s="138" t="s">
        <v>140</v>
      </c>
      <c r="AW51" s="136" t="s">
        <v>137</v>
      </c>
      <c r="AX51" s="183" t="s">
        <v>138</v>
      </c>
      <c r="AY51" s="137" t="s">
        <v>136</v>
      </c>
    </row>
    <row r="52" spans="43:51" x14ac:dyDescent="0.25">
      <c r="AQ52" s="346"/>
      <c r="AR52" s="130" t="s">
        <v>118</v>
      </c>
      <c r="AS52" s="184">
        <v>0.22638888888888889</v>
      </c>
      <c r="AT52" s="142">
        <v>0.16666666666666666</v>
      </c>
      <c r="AU52" s="139">
        <v>0.28819444444444442</v>
      </c>
      <c r="AV52" s="142">
        <v>0.16666666666666666</v>
      </c>
      <c r="AW52" s="140">
        <v>0.25277777777777777</v>
      </c>
      <c r="AX52" s="184">
        <v>0.22638888888888889</v>
      </c>
      <c r="AY52" s="141">
        <v>0.24027777777777778</v>
      </c>
    </row>
    <row r="53" spans="43:51" x14ac:dyDescent="0.25">
      <c r="AQ53" s="346"/>
      <c r="AR53" s="130" t="s">
        <v>133</v>
      </c>
      <c r="AS53" s="184">
        <v>0.76597222222222228</v>
      </c>
      <c r="AT53" s="142">
        <v>0.72777777777777775</v>
      </c>
      <c r="AU53" s="139">
        <v>0.45</v>
      </c>
      <c r="AV53" s="142">
        <v>0.72777777777777775</v>
      </c>
      <c r="AW53" s="140">
        <v>0.68263888888888891</v>
      </c>
      <c r="AX53" s="184">
        <v>0.76597222222222228</v>
      </c>
      <c r="AY53" s="141">
        <v>0.69791666666666663</v>
      </c>
    </row>
    <row r="54" spans="43:51" x14ac:dyDescent="0.25">
      <c r="AQ54" s="346" t="s">
        <v>159</v>
      </c>
      <c r="AR54" s="130" t="s">
        <v>132</v>
      </c>
      <c r="AS54" s="137" t="s">
        <v>106</v>
      </c>
      <c r="AT54" s="183" t="s">
        <v>111</v>
      </c>
      <c r="AU54" s="138" t="s">
        <v>112</v>
      </c>
      <c r="AV54" s="183" t="s">
        <v>111</v>
      </c>
      <c r="AW54" s="138" t="s">
        <v>112</v>
      </c>
      <c r="AX54" s="135" t="s">
        <v>105</v>
      </c>
      <c r="AY54" s="136" t="s">
        <v>107</v>
      </c>
    </row>
    <row r="55" spans="43:51" x14ac:dyDescent="0.25">
      <c r="AQ55" s="346"/>
      <c r="AR55" s="130" t="s">
        <v>134</v>
      </c>
      <c r="AS55" s="137" t="s">
        <v>136</v>
      </c>
      <c r="AT55" s="183" t="s">
        <v>139</v>
      </c>
      <c r="AU55" s="138" t="s">
        <v>141</v>
      </c>
      <c r="AV55" s="183" t="s">
        <v>138</v>
      </c>
      <c r="AW55" s="138" t="s">
        <v>140</v>
      </c>
      <c r="AX55" s="135" t="s">
        <v>135</v>
      </c>
      <c r="AY55" s="136" t="s">
        <v>137</v>
      </c>
    </row>
    <row r="56" spans="43:51" x14ac:dyDescent="0.25">
      <c r="AQ56" s="346"/>
      <c r="AR56" s="130" t="s">
        <v>118</v>
      </c>
      <c r="AS56" s="141">
        <v>0.24027777777777778</v>
      </c>
      <c r="AT56" s="184">
        <v>0.22638888888888889</v>
      </c>
      <c r="AU56" s="142">
        <v>0.16666666666666666</v>
      </c>
      <c r="AV56" s="184">
        <v>0.22638888888888889</v>
      </c>
      <c r="AW56" s="142">
        <v>0.16666666666666666</v>
      </c>
      <c r="AX56" s="139">
        <v>0.28819444444444442</v>
      </c>
      <c r="AY56" s="140">
        <v>0.25277777777777777</v>
      </c>
    </row>
    <row r="57" spans="43:51" x14ac:dyDescent="0.25">
      <c r="AQ57" s="346"/>
      <c r="AR57" s="130" t="s">
        <v>133</v>
      </c>
      <c r="AS57" s="141">
        <v>0.69791666666666663</v>
      </c>
      <c r="AT57" s="184">
        <v>0.76597222222222228</v>
      </c>
      <c r="AU57" s="142">
        <v>0.72777777777777775</v>
      </c>
      <c r="AV57" s="184">
        <v>0.76597222222222228</v>
      </c>
      <c r="AW57" s="142">
        <v>0.72777777777777775</v>
      </c>
      <c r="AX57" s="139">
        <v>0.45</v>
      </c>
      <c r="AY57" s="140">
        <v>0.68263888888888891</v>
      </c>
    </row>
    <row r="58" spans="43:51" ht="15.75" thickBot="1" x14ac:dyDescent="0.3">
      <c r="AQ58" s="371" t="s">
        <v>160</v>
      </c>
      <c r="AR58" s="372"/>
      <c r="AS58" s="161" t="s">
        <v>167</v>
      </c>
      <c r="AT58" s="161" t="s">
        <v>166</v>
      </c>
      <c r="AU58" s="161" t="s">
        <v>163</v>
      </c>
      <c r="AV58" s="161" t="s">
        <v>165</v>
      </c>
      <c r="AW58" s="161" t="s">
        <v>164</v>
      </c>
      <c r="AX58" s="161" t="s">
        <v>162</v>
      </c>
      <c r="AY58" s="161" t="s">
        <v>161</v>
      </c>
    </row>
    <row r="59" spans="43:51" ht="15.75" thickBot="1" x14ac:dyDescent="0.3">
      <c r="AV59" s="131"/>
      <c r="AW59" s="132"/>
      <c r="AX59" s="132"/>
    </row>
    <row r="60" spans="43:51" ht="15" customHeight="1" x14ac:dyDescent="0.25">
      <c r="AQ60" s="367" t="s">
        <v>169</v>
      </c>
      <c r="AR60" s="368"/>
      <c r="AS60" s="365" t="s">
        <v>170</v>
      </c>
      <c r="AT60" s="365" t="s">
        <v>171</v>
      </c>
      <c r="AU60" s="365" t="s">
        <v>172</v>
      </c>
      <c r="AV60" s="365" t="s">
        <v>173</v>
      </c>
      <c r="AW60" s="365" t="s">
        <v>173</v>
      </c>
      <c r="AX60" s="365" t="s">
        <v>171</v>
      </c>
      <c r="AY60" s="363" t="s">
        <v>170</v>
      </c>
    </row>
    <row r="61" spans="43:51" ht="15.75" thickBot="1" x14ac:dyDescent="0.3">
      <c r="AQ61" s="369"/>
      <c r="AR61" s="370"/>
      <c r="AS61" s="366"/>
      <c r="AT61" s="366"/>
      <c r="AU61" s="366"/>
      <c r="AV61" s="366"/>
      <c r="AW61" s="366"/>
      <c r="AX61" s="366"/>
      <c r="AY61" s="364"/>
    </row>
    <row r="78" ht="15" customHeight="1" x14ac:dyDescent="0.25"/>
  </sheetData>
  <mergeCells count="34">
    <mergeCell ref="AQ60:AR61"/>
    <mergeCell ref="AS60:AS61"/>
    <mergeCell ref="AQ50:AQ53"/>
    <mergeCell ref="AQ54:AQ57"/>
    <mergeCell ref="AQ58:AR58"/>
    <mergeCell ref="AY60:AY61"/>
    <mergeCell ref="AV60:AV61"/>
    <mergeCell ref="AW60:AW61"/>
    <mergeCell ref="AX60:AX61"/>
    <mergeCell ref="AT60:AT61"/>
    <mergeCell ref="AU60:AU61"/>
    <mergeCell ref="AQ46:AQ49"/>
    <mergeCell ref="AQ38:AQ41"/>
    <mergeCell ref="AQ42:AQ45"/>
    <mergeCell ref="AS32:AY32"/>
    <mergeCell ref="AQ26:AQ29"/>
    <mergeCell ref="AQ32:AR33"/>
    <mergeCell ref="AQ31:AY31"/>
    <mergeCell ref="AQ34:AQ37"/>
    <mergeCell ref="AQ30:AR30"/>
    <mergeCell ref="AQ10:AQ13"/>
    <mergeCell ref="AQ14:AQ17"/>
    <mergeCell ref="AQ22:AQ25"/>
    <mergeCell ref="B2:F2"/>
    <mergeCell ref="I2:N2"/>
    <mergeCell ref="Q2:W2"/>
    <mergeCell ref="Z2:AE2"/>
    <mergeCell ref="AH2:AM2"/>
    <mergeCell ref="AQ2:AY2"/>
    <mergeCell ref="AQ3:AY3"/>
    <mergeCell ref="AS4:AY4"/>
    <mergeCell ref="AQ4:AR5"/>
    <mergeCell ref="AQ6:AQ9"/>
    <mergeCell ref="AQ18:AQ21"/>
  </mergeCells>
  <phoneticPr fontId="11" type="noConversion"/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E7F52-3C9C-4819-95D4-6753A0E2E7C9}">
  <sheetPr codeName="Folha11"/>
  <dimension ref="B1:AC36"/>
  <sheetViews>
    <sheetView topLeftCell="M1" zoomScaleNormal="100" workbookViewId="0">
      <selection activeCell="Q7" sqref="Q7"/>
    </sheetView>
  </sheetViews>
  <sheetFormatPr defaultRowHeight="15" x14ac:dyDescent="0.25"/>
  <cols>
    <col min="2" max="2" width="24.42578125" customWidth="1"/>
    <col min="3" max="3" width="19.140625" customWidth="1"/>
    <col min="4" max="4" width="15.7109375" customWidth="1"/>
    <col min="5" max="5" width="16.140625" customWidth="1"/>
    <col min="6" max="6" width="15.42578125" customWidth="1"/>
    <col min="7" max="8" width="15.140625" customWidth="1"/>
    <col min="11" max="11" width="24.140625" customWidth="1"/>
    <col min="12" max="12" width="19.42578125" customWidth="1"/>
    <col min="13" max="13" width="19.140625" customWidth="1"/>
    <col min="14" max="14" width="19.42578125" customWidth="1"/>
    <col min="15" max="15" width="19" customWidth="1"/>
    <col min="16" max="16" width="19.140625" customWidth="1"/>
    <col min="17" max="17" width="18.85546875" customWidth="1"/>
    <col min="18" max="18" width="19.140625" customWidth="1"/>
    <col min="19" max="19" width="18.85546875" customWidth="1"/>
    <col min="21" max="21" width="8.85546875" customWidth="1"/>
    <col min="22" max="22" width="24.140625" customWidth="1"/>
    <col min="23" max="24" width="19.140625" customWidth="1"/>
    <col min="25" max="25" width="18.7109375" customWidth="1"/>
    <col min="26" max="27" width="19.42578125" customWidth="1"/>
    <col min="28" max="28" width="18.85546875" customWidth="1"/>
    <col min="29" max="29" width="19.42578125" customWidth="1"/>
    <col min="34" max="34" width="19.140625" bestFit="1" customWidth="1"/>
    <col min="37" max="41" width="9.7109375" bestFit="1" customWidth="1"/>
    <col min="42" max="42" width="7.42578125" bestFit="1" customWidth="1"/>
    <col min="44" max="44" width="9.7109375" bestFit="1" customWidth="1"/>
  </cols>
  <sheetData>
    <row r="1" spans="2:29" ht="15.75" thickBot="1" x14ac:dyDescent="0.3"/>
    <row r="2" spans="2:29" x14ac:dyDescent="0.25">
      <c r="B2" s="351" t="s">
        <v>105</v>
      </c>
      <c r="C2" s="348"/>
      <c r="D2" s="348"/>
      <c r="E2" s="348"/>
      <c r="F2" s="348"/>
      <c r="G2" s="350"/>
      <c r="H2" s="349"/>
      <c r="K2" s="351" t="s">
        <v>106</v>
      </c>
      <c r="L2" s="348"/>
      <c r="M2" s="348"/>
      <c r="N2" s="348"/>
      <c r="O2" s="348"/>
      <c r="P2" s="350"/>
      <c r="Q2" s="350"/>
      <c r="R2" s="350"/>
      <c r="S2" s="349"/>
      <c r="V2" s="351" t="s">
        <v>107</v>
      </c>
      <c r="W2" s="348"/>
      <c r="X2" s="348"/>
      <c r="Y2" s="348"/>
      <c r="Z2" s="348"/>
      <c r="AA2" s="350"/>
      <c r="AB2" s="350"/>
      <c r="AC2" s="349"/>
    </row>
    <row r="3" spans="2:29" ht="15" customHeight="1" x14ac:dyDescent="0.25">
      <c r="B3" s="68" t="s">
        <v>114</v>
      </c>
      <c r="C3" s="70" t="s">
        <v>115</v>
      </c>
      <c r="D3" s="70" t="s">
        <v>44</v>
      </c>
      <c r="E3" s="70" t="s">
        <v>71</v>
      </c>
      <c r="F3" s="70" t="s">
        <v>66</v>
      </c>
      <c r="G3" s="85" t="s">
        <v>69</v>
      </c>
      <c r="H3" s="71" t="s">
        <v>116</v>
      </c>
      <c r="K3" s="68" t="s">
        <v>114</v>
      </c>
      <c r="L3" s="70" t="s">
        <v>115</v>
      </c>
      <c r="M3" s="70" t="s">
        <v>49</v>
      </c>
      <c r="N3" s="70" t="s">
        <v>60</v>
      </c>
      <c r="O3" s="70" t="s">
        <v>36</v>
      </c>
      <c r="P3" s="85" t="s">
        <v>23</v>
      </c>
      <c r="Q3" s="85" t="s">
        <v>77</v>
      </c>
      <c r="R3" s="85" t="s">
        <v>29</v>
      </c>
      <c r="S3" s="71" t="s">
        <v>116</v>
      </c>
      <c r="V3" s="68" t="s">
        <v>114</v>
      </c>
      <c r="W3" s="70" t="s">
        <v>115</v>
      </c>
      <c r="X3" s="70" t="s">
        <v>63</v>
      </c>
      <c r="Y3" s="70" t="s">
        <v>56</v>
      </c>
      <c r="Z3" s="70" t="s">
        <v>53</v>
      </c>
      <c r="AA3" s="85" t="s">
        <v>19</v>
      </c>
      <c r="AB3" s="85" t="s">
        <v>74</v>
      </c>
      <c r="AC3" s="71" t="s">
        <v>116</v>
      </c>
    </row>
    <row r="4" spans="2:29" x14ac:dyDescent="0.25">
      <c r="B4" s="68" t="s">
        <v>118</v>
      </c>
      <c r="C4" s="75">
        <v>0.28472222222222221</v>
      </c>
      <c r="D4" s="75">
        <v>0.34444444444444444</v>
      </c>
      <c r="E4" s="75">
        <v>0.39374999999999999</v>
      </c>
      <c r="F4" s="75">
        <v>0.47708333333333336</v>
      </c>
      <c r="G4" s="86">
        <v>0.59513888888888888</v>
      </c>
      <c r="H4" s="114"/>
      <c r="I4" s="110"/>
      <c r="J4" s="110"/>
      <c r="K4" s="111" t="s">
        <v>118</v>
      </c>
      <c r="L4" s="75">
        <v>0.25208333333333333</v>
      </c>
      <c r="M4" s="75">
        <v>0.34027777777777779</v>
      </c>
      <c r="N4" s="75">
        <v>0.40277777777777779</v>
      </c>
      <c r="O4" s="75">
        <v>0.48194444444444445</v>
      </c>
      <c r="P4" s="86">
        <v>0.59930555555555554</v>
      </c>
      <c r="Q4" s="86">
        <v>0.6694444444444444</v>
      </c>
      <c r="R4" s="86">
        <v>0.89097222222222228</v>
      </c>
      <c r="S4" s="114"/>
      <c r="T4" s="110"/>
      <c r="U4" s="110"/>
      <c r="V4" s="111" t="s">
        <v>118</v>
      </c>
      <c r="W4" s="75">
        <v>0.16666666666666666</v>
      </c>
      <c r="X4" s="75">
        <v>0.34166666666666667</v>
      </c>
      <c r="Y4" s="75">
        <v>0.42291666666666666</v>
      </c>
      <c r="Z4" s="75">
        <v>0.51875000000000004</v>
      </c>
      <c r="AA4" s="86">
        <v>0.54791666666666672</v>
      </c>
      <c r="AB4" s="86">
        <v>0.96250000000000002</v>
      </c>
      <c r="AC4" s="116"/>
    </row>
    <row r="5" spans="2:29" x14ac:dyDescent="0.25">
      <c r="B5" s="68" t="s">
        <v>121</v>
      </c>
      <c r="C5" s="66">
        <v>1.0900000000000001</v>
      </c>
      <c r="D5" s="66">
        <v>0.69</v>
      </c>
      <c r="E5" s="66">
        <v>1.42</v>
      </c>
      <c r="F5" s="66">
        <v>1.4</v>
      </c>
      <c r="G5" s="89">
        <v>3.11</v>
      </c>
      <c r="H5" s="67">
        <v>7.71</v>
      </c>
      <c r="K5" s="68" t="s">
        <v>121</v>
      </c>
      <c r="L5" s="66">
        <v>1.95</v>
      </c>
      <c r="M5" s="66">
        <v>1.2</v>
      </c>
      <c r="N5" s="66">
        <v>1.1299999999999999</v>
      </c>
      <c r="O5" s="66">
        <v>1.4</v>
      </c>
      <c r="P5" s="89">
        <v>1.59</v>
      </c>
      <c r="Q5" s="89">
        <v>4.37</v>
      </c>
      <c r="R5" s="89">
        <v>3.4</v>
      </c>
      <c r="S5" s="67">
        <v>15.04</v>
      </c>
      <c r="V5" s="68" t="s">
        <v>121</v>
      </c>
      <c r="W5" s="66">
        <v>4.01</v>
      </c>
      <c r="X5" s="66">
        <v>0.87</v>
      </c>
      <c r="Y5" s="66">
        <v>2.17</v>
      </c>
      <c r="Z5" s="66">
        <v>0.85</v>
      </c>
      <c r="AA5" s="89">
        <v>8.9700000000000006</v>
      </c>
      <c r="AB5" s="89">
        <v>4.18</v>
      </c>
      <c r="AC5" s="67">
        <v>21.05</v>
      </c>
    </row>
    <row r="6" spans="2:29" x14ac:dyDescent="0.25">
      <c r="B6" s="68" t="s">
        <v>129</v>
      </c>
      <c r="C6" s="125">
        <v>0</v>
      </c>
      <c r="D6" s="113">
        <v>0</v>
      </c>
      <c r="E6" s="113">
        <v>0</v>
      </c>
      <c r="F6" s="113">
        <v>3.125E-2</v>
      </c>
      <c r="G6" s="115">
        <v>0</v>
      </c>
      <c r="H6" s="126">
        <v>3.125E-2</v>
      </c>
      <c r="K6" s="68" t="s">
        <v>129</v>
      </c>
      <c r="L6" s="125">
        <v>0</v>
      </c>
      <c r="M6" s="113">
        <v>0</v>
      </c>
      <c r="N6" s="113">
        <v>0</v>
      </c>
      <c r="O6" s="113">
        <v>3.125E-2</v>
      </c>
      <c r="P6" s="115">
        <v>0</v>
      </c>
      <c r="Q6" s="115">
        <v>3.125E-2</v>
      </c>
      <c r="R6" s="115">
        <v>0</v>
      </c>
      <c r="S6" s="126">
        <v>6.25E-2</v>
      </c>
      <c r="V6" s="68" t="s">
        <v>129</v>
      </c>
      <c r="W6" s="125">
        <v>0</v>
      </c>
      <c r="X6" s="113" t="s">
        <v>174</v>
      </c>
      <c r="Y6" s="113">
        <v>0</v>
      </c>
      <c r="Z6" s="113">
        <v>3.125E-2</v>
      </c>
      <c r="AA6" s="115">
        <v>3.125E-2</v>
      </c>
      <c r="AB6" s="115">
        <v>0</v>
      </c>
      <c r="AC6" s="126">
        <v>9.375E-2</v>
      </c>
    </row>
    <row r="7" spans="2:29" x14ac:dyDescent="0.25">
      <c r="B7" s="111" t="s">
        <v>133</v>
      </c>
      <c r="C7" s="75">
        <v>0.33333333333333331</v>
      </c>
      <c r="D7" s="75">
        <v>0.3840277777777778</v>
      </c>
      <c r="E7" s="75">
        <v>0.47152777777777777</v>
      </c>
      <c r="F7" s="75">
        <v>0.5541666666666667</v>
      </c>
      <c r="G7" s="86">
        <v>0.72499999999999998</v>
      </c>
      <c r="H7" s="114"/>
      <c r="K7" s="111" t="s">
        <v>133</v>
      </c>
      <c r="L7" s="75">
        <v>0.33333333333333331</v>
      </c>
      <c r="M7" s="75">
        <v>0.3972222222222222</v>
      </c>
      <c r="N7" s="75">
        <v>0.4777777777777778</v>
      </c>
      <c r="O7" s="75">
        <v>0.56388888888888888</v>
      </c>
      <c r="P7" s="86">
        <v>0.66527777777777775</v>
      </c>
      <c r="Q7" s="144">
        <v>0.85138888888888886</v>
      </c>
      <c r="R7" s="145">
        <v>3.2638888888888891E-2</v>
      </c>
      <c r="S7" s="114"/>
      <c r="V7" s="111" t="s">
        <v>133</v>
      </c>
      <c r="W7" s="75">
        <v>0.33333333333333331</v>
      </c>
      <c r="X7" s="75">
        <v>0.38611111111111113</v>
      </c>
      <c r="Y7" s="75">
        <v>0.5131944444444444</v>
      </c>
      <c r="Z7" s="75">
        <v>0.5541666666666667</v>
      </c>
      <c r="AA7" s="144">
        <v>0.92152777777777772</v>
      </c>
      <c r="AB7" s="145">
        <v>0.13680555555555557</v>
      </c>
      <c r="AC7" s="114"/>
    </row>
    <row r="8" spans="2:29" x14ac:dyDescent="0.25">
      <c r="B8" s="111" t="s">
        <v>143</v>
      </c>
      <c r="C8" s="75">
        <v>1.1111111111111112E-2</v>
      </c>
      <c r="D8" s="75">
        <v>9.7222222222222224E-3</v>
      </c>
      <c r="E8" s="75">
        <v>5.5555555555555558E-3</v>
      </c>
      <c r="F8" s="75">
        <v>9.7222222222222224E-3</v>
      </c>
      <c r="G8" s="112"/>
      <c r="H8" s="109">
        <v>3.6111111111111108E-2</v>
      </c>
      <c r="I8" s="110"/>
      <c r="J8" s="110"/>
      <c r="K8" s="111" t="s">
        <v>143</v>
      </c>
      <c r="L8" s="75">
        <v>6.9444444444444441E-3</v>
      </c>
      <c r="M8" s="75">
        <v>5.5555555555555558E-3</v>
      </c>
      <c r="N8" s="75">
        <v>4.1666666666666666E-3</v>
      </c>
      <c r="O8" s="75">
        <v>4.1666666666666666E-3</v>
      </c>
      <c r="P8" s="86">
        <v>4.1666666666666666E-3</v>
      </c>
      <c r="Q8" s="86">
        <v>8.3333333333333332E-3</v>
      </c>
      <c r="R8" s="112"/>
      <c r="S8" s="109">
        <v>3.3333333333333333E-2</v>
      </c>
      <c r="T8" s="110"/>
      <c r="U8" s="110"/>
      <c r="V8" s="111" t="s">
        <v>143</v>
      </c>
      <c r="W8" s="75">
        <v>8.3333333333333332E-3</v>
      </c>
      <c r="X8" s="75">
        <v>5.5555555555555558E-3</v>
      </c>
      <c r="Y8" s="75">
        <v>5.5555555555555558E-3</v>
      </c>
      <c r="Z8" s="75">
        <v>4.1666666666666666E-3</v>
      </c>
      <c r="AA8" s="86">
        <v>9.7222222222222224E-3</v>
      </c>
      <c r="AB8" s="112"/>
      <c r="AC8" s="109">
        <v>3.3333333333333333E-2</v>
      </c>
    </row>
    <row r="9" spans="2:29" x14ac:dyDescent="0.25">
      <c r="B9" s="68" t="s">
        <v>144</v>
      </c>
      <c r="C9" s="66" t="s">
        <v>145</v>
      </c>
      <c r="D9" s="66" t="s">
        <v>145</v>
      </c>
      <c r="E9" s="66" t="s">
        <v>145</v>
      </c>
      <c r="F9" s="66" t="s">
        <v>145</v>
      </c>
      <c r="G9" s="89" t="s">
        <v>145</v>
      </c>
      <c r="H9" s="67">
        <v>1</v>
      </c>
      <c r="K9" s="68" t="s">
        <v>144</v>
      </c>
      <c r="L9" s="66" t="s">
        <v>145</v>
      </c>
      <c r="M9" s="66" t="s">
        <v>145</v>
      </c>
      <c r="N9" s="66" t="s">
        <v>145</v>
      </c>
      <c r="O9" s="66" t="s">
        <v>145</v>
      </c>
      <c r="P9" s="89" t="s">
        <v>145</v>
      </c>
      <c r="Q9" s="89" t="s">
        <v>146</v>
      </c>
      <c r="R9" s="89" t="s">
        <v>146</v>
      </c>
      <c r="S9" s="67">
        <v>2</v>
      </c>
      <c r="V9" s="68" t="s">
        <v>144</v>
      </c>
      <c r="W9" s="66" t="s">
        <v>145</v>
      </c>
      <c r="X9" s="66" t="s">
        <v>146</v>
      </c>
      <c r="Y9" s="66" t="s">
        <v>145</v>
      </c>
      <c r="Z9" s="66" t="s">
        <v>146</v>
      </c>
      <c r="AA9" s="89" t="s">
        <v>175</v>
      </c>
      <c r="AB9" s="89" t="s">
        <v>146</v>
      </c>
      <c r="AC9" s="67">
        <v>3</v>
      </c>
    </row>
    <row r="10" spans="2:29" x14ac:dyDescent="0.25">
      <c r="B10" s="68" t="s">
        <v>147</v>
      </c>
      <c r="C10" s="73">
        <v>8</v>
      </c>
      <c r="D10" s="73">
        <v>7</v>
      </c>
      <c r="E10" s="73">
        <v>4</v>
      </c>
      <c r="F10" s="73">
        <v>3</v>
      </c>
      <c r="G10" s="87">
        <v>0</v>
      </c>
      <c r="H10" s="74">
        <f>SUM(C10:G10)</f>
        <v>22</v>
      </c>
      <c r="K10" s="68" t="s">
        <v>147</v>
      </c>
      <c r="L10" s="73">
        <v>5</v>
      </c>
      <c r="M10" s="73">
        <v>4</v>
      </c>
      <c r="N10" s="73">
        <v>3</v>
      </c>
      <c r="O10" s="73">
        <v>3</v>
      </c>
      <c r="P10" s="87">
        <v>3</v>
      </c>
      <c r="Q10" s="87">
        <v>6</v>
      </c>
      <c r="R10" s="87">
        <v>0</v>
      </c>
      <c r="S10" s="74">
        <f>SUM(L10:R10)</f>
        <v>24</v>
      </c>
      <c r="V10" s="68" t="s">
        <v>147</v>
      </c>
      <c r="W10" s="73">
        <v>6</v>
      </c>
      <c r="X10" s="73">
        <v>4</v>
      </c>
      <c r="Y10" s="73">
        <v>4</v>
      </c>
      <c r="Z10" s="73">
        <v>3</v>
      </c>
      <c r="AA10" s="87">
        <v>7</v>
      </c>
      <c r="AB10" s="87">
        <v>0</v>
      </c>
      <c r="AC10" s="74">
        <f>SUM(W10:AB10)</f>
        <v>24</v>
      </c>
    </row>
    <row r="11" spans="2:29" x14ac:dyDescent="0.25">
      <c r="B11" s="68" t="s">
        <v>149</v>
      </c>
      <c r="C11" s="73">
        <v>78</v>
      </c>
      <c r="D11" s="73">
        <v>50</v>
      </c>
      <c r="E11" s="73">
        <v>99</v>
      </c>
      <c r="F11" s="73">
        <v>81</v>
      </c>
      <c r="G11" s="87">
        <v>206</v>
      </c>
      <c r="H11" s="74">
        <f>SUM(C11:G11)</f>
        <v>514</v>
      </c>
      <c r="K11" s="68" t="s">
        <v>149</v>
      </c>
      <c r="L11" s="73">
        <v>140</v>
      </c>
      <c r="M11" s="73">
        <v>85</v>
      </c>
      <c r="N11" s="73">
        <v>78</v>
      </c>
      <c r="O11" s="73">
        <v>99</v>
      </c>
      <c r="P11" s="87">
        <v>82</v>
      </c>
      <c r="Q11" s="87">
        <v>295</v>
      </c>
      <c r="R11" s="87">
        <v>250</v>
      </c>
      <c r="S11" s="74">
        <f t="shared" ref="S11:S12" si="0">SUM(L11:R11)</f>
        <v>1029</v>
      </c>
      <c r="V11" s="68" t="s">
        <v>149</v>
      </c>
      <c r="W11" s="73">
        <v>297</v>
      </c>
      <c r="X11" s="73">
        <v>62</v>
      </c>
      <c r="Y11" s="73">
        <v>160</v>
      </c>
      <c r="Z11" s="73">
        <v>60</v>
      </c>
      <c r="AA11" s="87">
        <v>664</v>
      </c>
      <c r="AB11" s="87">
        <v>307</v>
      </c>
      <c r="AC11" s="74">
        <f t="shared" ref="AC11:AC12" si="1">SUM(W11:AB11)</f>
        <v>1550</v>
      </c>
    </row>
    <row r="12" spans="2:29" x14ac:dyDescent="0.25">
      <c r="B12" s="68" t="s">
        <v>150</v>
      </c>
      <c r="C12" s="127">
        <v>4.05</v>
      </c>
      <c r="D12" s="127">
        <v>2.35</v>
      </c>
      <c r="E12" s="127">
        <v>9</v>
      </c>
      <c r="F12" s="127">
        <v>0</v>
      </c>
      <c r="G12" s="128">
        <v>14.3</v>
      </c>
      <c r="H12" s="129">
        <f>SUM(C12:G12)</f>
        <v>29.700000000000003</v>
      </c>
      <c r="K12" s="68" t="s">
        <v>150</v>
      </c>
      <c r="L12" s="127">
        <v>11.1</v>
      </c>
      <c r="M12" s="127">
        <v>0</v>
      </c>
      <c r="N12" s="127">
        <v>2.5499999999999998</v>
      </c>
      <c r="O12" s="127">
        <v>3.1</v>
      </c>
      <c r="P12" s="128">
        <v>0.45</v>
      </c>
      <c r="Q12" s="128">
        <v>10.7</v>
      </c>
      <c r="R12" s="128">
        <v>19.399999999999999</v>
      </c>
      <c r="S12" s="129">
        <f t="shared" si="0"/>
        <v>47.3</v>
      </c>
      <c r="V12" s="68" t="s">
        <v>150</v>
      </c>
      <c r="W12" s="127">
        <v>23</v>
      </c>
      <c r="X12" s="127">
        <v>4.1500000000000004</v>
      </c>
      <c r="Y12" s="127">
        <v>7.9</v>
      </c>
      <c r="Z12" s="127">
        <v>0</v>
      </c>
      <c r="AA12" s="128">
        <v>41.95</v>
      </c>
      <c r="AB12" s="128">
        <v>27.4</v>
      </c>
      <c r="AC12" s="129">
        <f t="shared" si="1"/>
        <v>104.4</v>
      </c>
    </row>
    <row r="13" spans="2:29" ht="15.75" thickBot="1" x14ac:dyDescent="0.3">
      <c r="B13" s="69" t="s">
        <v>151</v>
      </c>
      <c r="C13" s="70" t="s">
        <v>44</v>
      </c>
      <c r="D13" s="70" t="s">
        <v>71</v>
      </c>
      <c r="E13" s="70" t="s">
        <v>66</v>
      </c>
      <c r="F13" s="85" t="s">
        <v>69</v>
      </c>
      <c r="G13" s="90" t="s">
        <v>152</v>
      </c>
      <c r="H13" s="107"/>
      <c r="K13" s="69" t="s">
        <v>151</v>
      </c>
      <c r="L13" s="70" t="s">
        <v>49</v>
      </c>
      <c r="M13" s="70" t="s">
        <v>60</v>
      </c>
      <c r="N13" s="70" t="s">
        <v>36</v>
      </c>
      <c r="O13" s="85" t="s">
        <v>23</v>
      </c>
      <c r="P13" s="90" t="s">
        <v>77</v>
      </c>
      <c r="Q13" s="90" t="s">
        <v>29</v>
      </c>
      <c r="R13" s="90" t="s">
        <v>152</v>
      </c>
      <c r="S13" s="107"/>
      <c r="V13" s="69" t="s">
        <v>151</v>
      </c>
      <c r="W13" s="70" t="s">
        <v>63</v>
      </c>
      <c r="X13" s="70" t="s">
        <v>56</v>
      </c>
      <c r="Y13" s="70" t="s">
        <v>53</v>
      </c>
      <c r="Z13" s="85" t="s">
        <v>19</v>
      </c>
      <c r="AA13" s="90" t="s">
        <v>74</v>
      </c>
      <c r="AB13" s="90" t="s">
        <v>152</v>
      </c>
      <c r="AC13" s="107"/>
    </row>
    <row r="14" spans="2:29" ht="15" customHeight="1" x14ac:dyDescent="0.25"/>
    <row r="15" spans="2:29" x14ac:dyDescent="0.25">
      <c r="B15" s="105" t="s">
        <v>154</v>
      </c>
      <c r="C15" t="s">
        <v>155</v>
      </c>
      <c r="K15" s="17" t="s">
        <v>49</v>
      </c>
      <c r="L15" s="22">
        <v>5</v>
      </c>
      <c r="V15" s="17" t="s">
        <v>63</v>
      </c>
      <c r="W15" s="22">
        <v>6</v>
      </c>
    </row>
    <row r="16" spans="2:29" x14ac:dyDescent="0.25">
      <c r="B16" t="s">
        <v>71</v>
      </c>
      <c r="C16" t="s">
        <v>156</v>
      </c>
      <c r="K16" s="16" t="s">
        <v>60</v>
      </c>
      <c r="L16" s="20">
        <v>4</v>
      </c>
      <c r="V16" s="17" t="s">
        <v>56</v>
      </c>
      <c r="W16" s="22">
        <v>4</v>
      </c>
    </row>
    <row r="17" spans="2:23" x14ac:dyDescent="0.25">
      <c r="B17" s="16" t="s">
        <v>66</v>
      </c>
      <c r="C17" s="20">
        <v>4</v>
      </c>
      <c r="K17" s="18" t="s">
        <v>36</v>
      </c>
      <c r="L17" s="22">
        <v>3</v>
      </c>
      <c r="V17" s="16" t="s">
        <v>53</v>
      </c>
      <c r="W17" s="20">
        <v>4</v>
      </c>
    </row>
    <row r="18" spans="2:23" x14ac:dyDescent="0.25">
      <c r="B18" s="17" t="s">
        <v>69</v>
      </c>
      <c r="C18" s="22">
        <v>3</v>
      </c>
      <c r="K18" s="17" t="s">
        <v>23</v>
      </c>
      <c r="L18" s="22">
        <v>3</v>
      </c>
      <c r="V18" s="16" t="s">
        <v>19</v>
      </c>
      <c r="W18" s="20">
        <v>3</v>
      </c>
    </row>
    <row r="19" spans="2:23" x14ac:dyDescent="0.25">
      <c r="K19" s="16" t="s">
        <v>77</v>
      </c>
      <c r="L19" s="20">
        <v>3</v>
      </c>
      <c r="V19" s="17" t="s">
        <v>74</v>
      </c>
      <c r="W19" s="22">
        <v>7</v>
      </c>
    </row>
    <row r="20" spans="2:23" x14ac:dyDescent="0.25">
      <c r="K20" s="16" t="s">
        <v>29</v>
      </c>
      <c r="L20" s="20">
        <v>6</v>
      </c>
    </row>
    <row r="25" spans="2:23" x14ac:dyDescent="0.25">
      <c r="K25" s="373"/>
      <c r="L25" s="373"/>
      <c r="M25" s="373"/>
      <c r="N25" s="373"/>
      <c r="O25" s="373"/>
      <c r="P25" s="373"/>
      <c r="Q25" s="373"/>
      <c r="R25" s="373"/>
      <c r="S25" s="373"/>
    </row>
    <row r="26" spans="2:23" x14ac:dyDescent="0.25">
      <c r="K26" s="151"/>
      <c r="L26" s="151"/>
      <c r="M26" s="151"/>
      <c r="N26" s="151"/>
      <c r="O26" s="151"/>
      <c r="P26" s="151"/>
      <c r="Q26" s="151"/>
      <c r="R26" s="151"/>
      <c r="S26" s="151"/>
    </row>
    <row r="27" spans="2:23" x14ac:dyDescent="0.25">
      <c r="K27" s="152"/>
      <c r="L27" s="153"/>
      <c r="M27" s="153"/>
      <c r="N27" s="153"/>
      <c r="O27" s="153"/>
      <c r="P27" s="153"/>
      <c r="Q27" s="153"/>
      <c r="R27" s="153"/>
      <c r="S27" s="153"/>
    </row>
    <row r="28" spans="2:23" x14ac:dyDescent="0.25">
      <c r="K28" s="151"/>
      <c r="L28" s="143"/>
      <c r="M28" s="143"/>
      <c r="N28" s="143"/>
      <c r="O28" s="143"/>
      <c r="P28" s="143"/>
      <c r="Q28" s="143"/>
      <c r="R28" s="143"/>
      <c r="S28" s="143"/>
    </row>
    <row r="29" spans="2:23" x14ac:dyDescent="0.25">
      <c r="K29" s="151"/>
      <c r="L29" s="125"/>
      <c r="M29" s="154"/>
      <c r="N29" s="154"/>
      <c r="O29" s="154"/>
      <c r="P29" s="154"/>
      <c r="Q29" s="154"/>
      <c r="R29" s="154"/>
      <c r="S29" s="154"/>
    </row>
    <row r="30" spans="2:23" x14ac:dyDescent="0.25">
      <c r="K30" s="152"/>
      <c r="L30" s="153"/>
      <c r="M30" s="153"/>
      <c r="N30" s="153"/>
      <c r="O30" s="153"/>
      <c r="P30" s="153"/>
      <c r="Q30" s="153"/>
      <c r="R30" s="153"/>
      <c r="S30" s="153"/>
    </row>
    <row r="31" spans="2:23" x14ac:dyDescent="0.25">
      <c r="K31" s="152"/>
      <c r="L31" s="153"/>
      <c r="M31" s="153"/>
      <c r="N31" s="153"/>
      <c r="O31" s="153"/>
      <c r="P31" s="153"/>
      <c r="Q31" s="153"/>
      <c r="R31" s="153"/>
      <c r="S31" s="153"/>
    </row>
    <row r="32" spans="2:23" x14ac:dyDescent="0.25">
      <c r="K32" s="151"/>
      <c r="L32" s="143"/>
      <c r="M32" s="143"/>
      <c r="N32" s="143"/>
      <c r="O32" s="143"/>
      <c r="P32" s="143"/>
      <c r="Q32" s="143"/>
      <c r="R32" s="143"/>
      <c r="S32" s="143"/>
    </row>
    <row r="33" spans="11:19" x14ac:dyDescent="0.25">
      <c r="K33" s="151"/>
      <c r="L33" s="155"/>
      <c r="M33" s="155"/>
      <c r="N33" s="155"/>
      <c r="O33" s="155"/>
      <c r="P33" s="155"/>
      <c r="Q33" s="155"/>
      <c r="R33" s="155"/>
      <c r="S33" s="155"/>
    </row>
    <row r="34" spans="11:19" x14ac:dyDescent="0.25">
      <c r="K34" s="151"/>
      <c r="L34" s="155"/>
      <c r="M34" s="155"/>
      <c r="N34" s="155"/>
      <c r="O34" s="155"/>
      <c r="P34" s="155"/>
      <c r="Q34" s="155"/>
      <c r="R34" s="155"/>
      <c r="S34" s="155"/>
    </row>
    <row r="35" spans="11:19" x14ac:dyDescent="0.25">
      <c r="K35" s="151"/>
      <c r="L35" s="156"/>
      <c r="M35" s="156"/>
      <c r="N35" s="156"/>
      <c r="O35" s="156"/>
      <c r="P35" s="156"/>
      <c r="Q35" s="156"/>
      <c r="R35" s="156"/>
      <c r="S35" s="156"/>
    </row>
    <row r="36" spans="11:19" x14ac:dyDescent="0.25">
      <c r="K36" s="151"/>
      <c r="L36" s="151"/>
      <c r="M36" s="151"/>
      <c r="N36" s="151"/>
      <c r="O36" s="151"/>
      <c r="P36" s="151"/>
      <c r="Q36" s="151"/>
      <c r="R36" s="151"/>
      <c r="S36" s="143"/>
    </row>
  </sheetData>
  <mergeCells count="4">
    <mergeCell ref="B2:H2"/>
    <mergeCell ref="K2:S2"/>
    <mergeCell ref="V2:AC2"/>
    <mergeCell ref="K25:S2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091-DFBD-4B4B-8845-3A9AE69F1726}">
  <sheetPr codeName="Folha12"/>
  <dimension ref="B1:AP61"/>
  <sheetViews>
    <sheetView topLeftCell="Q1" zoomScaleNormal="100" workbookViewId="0">
      <selection activeCell="AA17" sqref="AA17"/>
    </sheetView>
  </sheetViews>
  <sheetFormatPr defaultRowHeight="15" x14ac:dyDescent="0.25"/>
  <cols>
    <col min="2" max="2" width="20.140625" bestFit="1" customWidth="1"/>
    <col min="3" max="5" width="19.140625" customWidth="1"/>
    <col min="6" max="6" width="19" customWidth="1"/>
    <col min="7" max="7" width="18.85546875" customWidth="1"/>
    <col min="9" max="9" width="20.140625" bestFit="1" customWidth="1"/>
    <col min="10" max="12" width="19.140625" customWidth="1"/>
    <col min="13" max="13" width="19.42578125" customWidth="1"/>
    <col min="14" max="15" width="19.140625" customWidth="1"/>
    <col min="17" max="17" width="10.85546875" customWidth="1"/>
    <col min="18" max="18" width="20.140625" bestFit="1" customWidth="1"/>
    <col min="19" max="19" width="19.42578125" customWidth="1"/>
    <col min="20" max="20" width="16.140625" customWidth="1"/>
    <col min="21" max="21" width="19" customWidth="1"/>
    <col min="22" max="22" width="16" customWidth="1"/>
    <col min="23" max="23" width="15.42578125" customWidth="1"/>
    <col min="24" max="24" width="15.7109375" customWidth="1"/>
    <col min="25" max="25" width="16.140625" customWidth="1"/>
    <col min="27" max="27" width="20.140625" bestFit="1" customWidth="1"/>
    <col min="28" max="28" width="19" customWidth="1"/>
    <col min="29" max="29" width="18.85546875" customWidth="1"/>
    <col min="30" max="30" width="19.140625" customWidth="1"/>
    <col min="31" max="31" width="19.42578125" customWidth="1"/>
    <col min="32" max="32" width="19.140625" customWidth="1"/>
    <col min="36" max="36" width="21.85546875" customWidth="1"/>
  </cols>
  <sheetData>
    <row r="1" spans="2:42" ht="15.75" thickBot="1" x14ac:dyDescent="0.3"/>
    <row r="2" spans="2:42" x14ac:dyDescent="0.25">
      <c r="B2" s="351" t="s">
        <v>176</v>
      </c>
      <c r="C2" s="348"/>
      <c r="D2" s="348"/>
      <c r="E2" s="348"/>
      <c r="F2" s="348"/>
      <c r="G2" s="349"/>
      <c r="I2" s="351" t="s">
        <v>177</v>
      </c>
      <c r="J2" s="348"/>
      <c r="K2" s="348"/>
      <c r="L2" s="348"/>
      <c r="M2" s="348"/>
      <c r="N2" s="350"/>
      <c r="O2" s="349"/>
      <c r="R2" s="351" t="s">
        <v>178</v>
      </c>
      <c r="S2" s="348"/>
      <c r="T2" s="348"/>
      <c r="U2" s="348"/>
      <c r="V2" s="348"/>
      <c r="W2" s="350"/>
      <c r="X2" s="350"/>
      <c r="Y2" s="349"/>
      <c r="AA2" s="351" t="s">
        <v>179</v>
      </c>
      <c r="AB2" s="348"/>
      <c r="AC2" s="348"/>
      <c r="AD2" s="348"/>
      <c r="AE2" s="348"/>
      <c r="AF2" s="349"/>
      <c r="AI2" s="355" t="s">
        <v>113</v>
      </c>
      <c r="AJ2" s="356"/>
      <c r="AK2" s="356"/>
      <c r="AL2" s="356"/>
      <c r="AM2" s="356"/>
      <c r="AN2" s="356"/>
      <c r="AO2" s="356"/>
      <c r="AP2" s="357"/>
    </row>
    <row r="3" spans="2:42" x14ac:dyDescent="0.25">
      <c r="B3" s="68" t="s">
        <v>114</v>
      </c>
      <c r="C3" s="70" t="s">
        <v>115</v>
      </c>
      <c r="D3" s="70" t="s">
        <v>44</v>
      </c>
      <c r="E3" s="70" t="s">
        <v>71</v>
      </c>
      <c r="F3" s="70" t="s">
        <v>66</v>
      </c>
      <c r="G3" s="71" t="s">
        <v>116</v>
      </c>
      <c r="I3" s="68" t="s">
        <v>114</v>
      </c>
      <c r="J3" s="70" t="s">
        <v>115</v>
      </c>
      <c r="K3" s="70" t="s">
        <v>49</v>
      </c>
      <c r="L3" s="70" t="s">
        <v>60</v>
      </c>
      <c r="M3" s="70" t="s">
        <v>36</v>
      </c>
      <c r="N3" s="85" t="s">
        <v>23</v>
      </c>
      <c r="O3" s="71" t="s">
        <v>116</v>
      </c>
      <c r="R3" s="68" t="s">
        <v>114</v>
      </c>
      <c r="S3" s="70" t="s">
        <v>115</v>
      </c>
      <c r="T3" s="70" t="s">
        <v>63</v>
      </c>
      <c r="U3" s="70" t="s">
        <v>56</v>
      </c>
      <c r="V3" s="70" t="s">
        <v>53</v>
      </c>
      <c r="W3" s="85" t="s">
        <v>19</v>
      </c>
      <c r="X3" s="85" t="s">
        <v>29</v>
      </c>
      <c r="Y3" s="71" t="s">
        <v>116</v>
      </c>
      <c r="AA3" s="68" t="s">
        <v>114</v>
      </c>
      <c r="AB3" s="70" t="s">
        <v>115</v>
      </c>
      <c r="AC3" s="70" t="s">
        <v>74</v>
      </c>
      <c r="AD3" s="70" t="s">
        <v>69</v>
      </c>
      <c r="AE3" s="70" t="s">
        <v>77</v>
      </c>
      <c r="AF3" s="71" t="s">
        <v>116</v>
      </c>
      <c r="AI3" s="358" t="s">
        <v>117</v>
      </c>
      <c r="AJ3" s="359"/>
      <c r="AK3" s="359"/>
      <c r="AL3" s="359"/>
      <c r="AM3" s="359"/>
      <c r="AN3" s="359"/>
      <c r="AO3" s="359"/>
      <c r="AP3" s="360"/>
    </row>
    <row r="4" spans="2:42" x14ac:dyDescent="0.25">
      <c r="B4" s="68" t="s">
        <v>118</v>
      </c>
      <c r="C4" s="75">
        <v>0.28819444444444442</v>
      </c>
      <c r="D4" s="75">
        <f>C6+C7+C8</f>
        <v>0.34444444444444444</v>
      </c>
      <c r="E4" s="75">
        <f>D6+D7+D8</f>
        <v>0.38263888888888892</v>
      </c>
      <c r="F4" s="75">
        <f>E6+E7+E8</f>
        <v>0.44722222222222224</v>
      </c>
      <c r="G4" s="114"/>
      <c r="I4" s="111" t="s">
        <v>118</v>
      </c>
      <c r="J4" s="75">
        <v>0.25277777777777777</v>
      </c>
      <c r="K4" s="75">
        <f>J6+J7+J8</f>
        <v>0.34027777777777773</v>
      </c>
      <c r="L4" s="75">
        <f>K6+K7+K8</f>
        <v>0.39583333333333326</v>
      </c>
      <c r="M4" s="75">
        <f>L6+L7+L8</f>
        <v>0.44722222222222213</v>
      </c>
      <c r="N4" s="75">
        <f>M6+M7+M8</f>
        <v>0.50972222222222208</v>
      </c>
      <c r="O4" s="114"/>
      <c r="R4" s="111" t="s">
        <v>118</v>
      </c>
      <c r="S4" s="75">
        <v>0.16666666666666666</v>
      </c>
      <c r="T4" s="75">
        <f>S6+S7+S8</f>
        <v>0.34166666666666667</v>
      </c>
      <c r="U4" s="75">
        <f>T6+T7+T8</f>
        <v>0.4145833333333333</v>
      </c>
      <c r="V4" s="75">
        <f>U6+U7+U8</f>
        <v>0.51041666666666663</v>
      </c>
      <c r="W4" s="75">
        <f>V6+V7+V8</f>
        <v>0.54999999999999993</v>
      </c>
      <c r="X4" s="75">
        <f>W6+W7+W8</f>
        <v>0.67361111111111105</v>
      </c>
      <c r="Y4" s="116"/>
      <c r="AA4" s="68" t="s">
        <v>118</v>
      </c>
      <c r="AB4" s="113">
        <v>0.16666666666666666</v>
      </c>
      <c r="AC4" s="113">
        <f>AB6+AB7+AB8</f>
        <v>0.35000000000000003</v>
      </c>
      <c r="AD4" s="113">
        <f>AC6+AC7+AC8</f>
        <v>0.46736111111111112</v>
      </c>
      <c r="AE4" s="113">
        <f>AD6+AD7+AD8</f>
        <v>0.61388888888888893</v>
      </c>
      <c r="AF4" s="116"/>
      <c r="AI4" s="358"/>
      <c r="AJ4" s="359"/>
      <c r="AK4" s="359" t="s">
        <v>119</v>
      </c>
      <c r="AL4" s="359"/>
      <c r="AM4" s="359"/>
      <c r="AN4" s="359"/>
      <c r="AO4" s="359"/>
      <c r="AP4" s="360"/>
    </row>
    <row r="5" spans="2:42" x14ac:dyDescent="0.25">
      <c r="B5" s="68" t="s">
        <v>121</v>
      </c>
      <c r="C5" s="170">
        <f>Duração!G23</f>
        <v>4.5138888888888888E-2</v>
      </c>
      <c r="D5" s="170">
        <f>Duração!O28</f>
        <v>2.8472222222222222E-2</v>
      </c>
      <c r="E5" s="170">
        <f>Duração!O34</f>
        <v>5.9027777777777776E-2</v>
      </c>
      <c r="F5" s="170">
        <f>Duração!M23</f>
        <v>9.3055555555555558E-2</v>
      </c>
      <c r="G5" s="172">
        <f>SUM(C5:F5)</f>
        <v>0.22569444444444445</v>
      </c>
      <c r="I5" s="68" t="s">
        <v>121</v>
      </c>
      <c r="J5" s="170">
        <f>Duração!H23</f>
        <v>8.0555555555555561E-2</v>
      </c>
      <c r="K5" s="170">
        <f>Duração!K29</f>
        <v>0.05</v>
      </c>
      <c r="L5" s="170">
        <f>Duração!K27</f>
        <v>4.7222222222222221E-2</v>
      </c>
      <c r="M5" s="170">
        <f>Duração!F26</f>
        <v>5.8333333333333334E-2</v>
      </c>
      <c r="N5" s="171">
        <f>Duração!E23</f>
        <v>8.8888888888888892E-2</v>
      </c>
      <c r="O5" s="172">
        <f>SUM(J5:N5)</f>
        <v>0.32500000000000001</v>
      </c>
      <c r="R5" s="68" t="s">
        <v>121</v>
      </c>
      <c r="S5" s="170">
        <f>Duração!L23</f>
        <v>0.16666666666666666</v>
      </c>
      <c r="T5" s="170">
        <f>Duração!L31</f>
        <v>3.6111111111111108E-2</v>
      </c>
      <c r="U5" s="170">
        <f>Duração!J30</f>
        <v>9.0277777777777776E-2</v>
      </c>
      <c r="V5" s="170">
        <f>Duração!I25</f>
        <v>3.5416666666666666E-2</v>
      </c>
      <c r="W5" s="171">
        <f>Duração!D24</f>
        <v>8.4027777777777785E-2</v>
      </c>
      <c r="X5" s="171">
        <f>Duração!C23</f>
        <v>0.14166666666666666</v>
      </c>
      <c r="Y5" s="172">
        <f>SUM(S5:X5)</f>
        <v>0.5541666666666667</v>
      </c>
      <c r="AA5" s="68" t="s">
        <v>121</v>
      </c>
      <c r="AB5" s="170">
        <f>Duração!P23</f>
        <v>0.1736111111111111</v>
      </c>
      <c r="AC5" s="170">
        <f>Duração!P35</f>
        <v>8.1944444444444445E-2</v>
      </c>
      <c r="AD5" s="170">
        <f>Duração!Q35</f>
        <v>0.1423611111111111</v>
      </c>
      <c r="AE5" s="170">
        <f>Duração!Q23</f>
        <v>0.10694444444444444</v>
      </c>
      <c r="AF5" s="172">
        <f>SUM(AB5:AE5)</f>
        <v>0.50486111111111109</v>
      </c>
      <c r="AI5" s="358"/>
      <c r="AJ5" s="359"/>
      <c r="AK5" s="66" t="s">
        <v>122</v>
      </c>
      <c r="AL5" s="66" t="s">
        <v>123</v>
      </c>
      <c r="AM5" s="66" t="s">
        <v>124</v>
      </c>
      <c r="AN5" s="66" t="s">
        <v>125</v>
      </c>
      <c r="AO5" s="66" t="s">
        <v>126</v>
      </c>
      <c r="AP5" s="67" t="s">
        <v>127</v>
      </c>
    </row>
    <row r="6" spans="2:42" x14ac:dyDescent="0.25">
      <c r="B6" s="68" t="s">
        <v>129</v>
      </c>
      <c r="C6" s="177">
        <v>0</v>
      </c>
      <c r="D6" s="178">
        <v>0</v>
      </c>
      <c r="E6" s="178">
        <v>0</v>
      </c>
      <c r="F6" s="179" t="s">
        <v>130</v>
      </c>
      <c r="G6" s="180">
        <v>0</v>
      </c>
      <c r="I6" s="68" t="s">
        <v>129</v>
      </c>
      <c r="J6" s="177">
        <v>0</v>
      </c>
      <c r="K6" s="178">
        <v>0</v>
      </c>
      <c r="L6" s="178">
        <v>0</v>
      </c>
      <c r="M6" s="178">
        <v>0</v>
      </c>
      <c r="N6" s="182" t="s">
        <v>130</v>
      </c>
      <c r="O6" s="180">
        <f>SUM(J6:N6)</f>
        <v>0</v>
      </c>
      <c r="R6" s="68" t="s">
        <v>129</v>
      </c>
      <c r="S6" s="181">
        <v>0</v>
      </c>
      <c r="T6" s="170">
        <v>3.125E-2</v>
      </c>
      <c r="U6" s="170">
        <v>0</v>
      </c>
      <c r="V6" s="170">
        <v>0</v>
      </c>
      <c r="W6" s="171">
        <v>3.125E-2</v>
      </c>
      <c r="X6" s="173" t="s">
        <v>130</v>
      </c>
      <c r="Y6" s="172">
        <v>7.6388888888888895E-2</v>
      </c>
      <c r="AA6" s="68" t="s">
        <v>129</v>
      </c>
      <c r="AB6" s="177">
        <v>0</v>
      </c>
      <c r="AC6" s="178">
        <v>3.125E-2</v>
      </c>
      <c r="AD6" s="178">
        <v>0</v>
      </c>
      <c r="AE6" s="179" t="s">
        <v>130</v>
      </c>
      <c r="AF6" s="172">
        <v>3.125E-2</v>
      </c>
      <c r="AI6" s="346" t="s">
        <v>131</v>
      </c>
      <c r="AJ6" s="130" t="s">
        <v>132</v>
      </c>
      <c r="AK6" s="135" t="s">
        <v>176</v>
      </c>
      <c r="AL6" s="137" t="s">
        <v>177</v>
      </c>
      <c r="AM6" s="136" t="s">
        <v>178</v>
      </c>
      <c r="AN6" s="136" t="s">
        <v>178</v>
      </c>
      <c r="AO6" s="138" t="s">
        <v>179</v>
      </c>
      <c r="AP6" s="138" t="s">
        <v>179</v>
      </c>
    </row>
    <row r="7" spans="2:42" x14ac:dyDescent="0.25">
      <c r="B7" s="111" t="s">
        <v>133</v>
      </c>
      <c r="C7" s="75">
        <f>C4+C5</f>
        <v>0.33333333333333331</v>
      </c>
      <c r="D7" s="75">
        <f>D4+D5</f>
        <v>0.37291666666666667</v>
      </c>
      <c r="E7" s="75">
        <f>E4+E5</f>
        <v>0.44166666666666671</v>
      </c>
      <c r="F7" s="75">
        <f>F4+F5</f>
        <v>0.54027777777777786</v>
      </c>
      <c r="G7" s="114"/>
      <c r="I7" s="111" t="s">
        <v>133</v>
      </c>
      <c r="J7" s="75">
        <f>J4+J5</f>
        <v>0.33333333333333331</v>
      </c>
      <c r="K7" s="75">
        <f>K4+K5</f>
        <v>0.39027777777777772</v>
      </c>
      <c r="L7" s="75">
        <f>L4+L5</f>
        <v>0.44305555555555548</v>
      </c>
      <c r="M7" s="75">
        <f>M4+M5</f>
        <v>0.50555555555555542</v>
      </c>
      <c r="N7" s="75">
        <f>N4+N5</f>
        <v>0.59861111111111098</v>
      </c>
      <c r="O7" s="114"/>
      <c r="R7" s="111" t="s">
        <v>133</v>
      </c>
      <c r="S7" s="75">
        <f t="shared" ref="S7:X7" si="0">S4+S5</f>
        <v>0.33333333333333331</v>
      </c>
      <c r="T7" s="75">
        <f t="shared" si="0"/>
        <v>0.37777777777777777</v>
      </c>
      <c r="U7" s="75">
        <f t="shared" si="0"/>
        <v>0.50486111111111109</v>
      </c>
      <c r="V7" s="75">
        <f t="shared" si="0"/>
        <v>0.54583333333333328</v>
      </c>
      <c r="W7" s="75">
        <f t="shared" si="0"/>
        <v>0.63402777777777775</v>
      </c>
      <c r="X7" s="75">
        <f t="shared" si="0"/>
        <v>0.81527777777777777</v>
      </c>
      <c r="Y7" s="114"/>
      <c r="AA7" s="111" t="s">
        <v>133</v>
      </c>
      <c r="AB7" s="75">
        <f>AB4+AB5</f>
        <v>0.34027777777777779</v>
      </c>
      <c r="AC7" s="75">
        <f>AC4+AC5</f>
        <v>0.43194444444444446</v>
      </c>
      <c r="AD7" s="75">
        <f>AD4+AD5</f>
        <v>0.60972222222222228</v>
      </c>
      <c r="AE7" s="75">
        <f>AE4+AE5</f>
        <v>0.72083333333333333</v>
      </c>
      <c r="AF7" s="114"/>
      <c r="AI7" s="346"/>
      <c r="AJ7" s="130" t="s">
        <v>134</v>
      </c>
      <c r="AK7" s="135" t="s">
        <v>180</v>
      </c>
      <c r="AL7" s="137" t="s">
        <v>181</v>
      </c>
      <c r="AM7" s="136" t="s">
        <v>182</v>
      </c>
      <c r="AN7" s="136" t="s">
        <v>183</v>
      </c>
      <c r="AO7" s="138" t="s">
        <v>184</v>
      </c>
      <c r="AP7" s="138" t="s">
        <v>185</v>
      </c>
    </row>
    <row r="8" spans="2:42" x14ac:dyDescent="0.25">
      <c r="B8" s="111" t="s">
        <v>143</v>
      </c>
      <c r="C8" s="75">
        <v>1.1111111111111112E-2</v>
      </c>
      <c r="D8" s="75">
        <v>9.7222222222222224E-3</v>
      </c>
      <c r="E8" s="75">
        <v>5.5555555555555558E-3</v>
      </c>
      <c r="F8" s="117"/>
      <c r="G8" s="109">
        <v>2.6388888888888889E-2</v>
      </c>
      <c r="I8" s="111" t="s">
        <v>143</v>
      </c>
      <c r="J8" s="75">
        <v>6.9444444444444441E-3</v>
      </c>
      <c r="K8" s="75">
        <v>5.5555555555555558E-3</v>
      </c>
      <c r="L8" s="75">
        <v>4.1666666666666666E-3</v>
      </c>
      <c r="M8" s="75">
        <v>4.1666666666666666E-3</v>
      </c>
      <c r="N8" s="112"/>
      <c r="O8" s="109">
        <f>SUM(J8:N8)</f>
        <v>2.0833333333333332E-2</v>
      </c>
      <c r="R8" s="111" t="s">
        <v>143</v>
      </c>
      <c r="S8" s="75">
        <v>8.3333333333333332E-3</v>
      </c>
      <c r="T8" s="75">
        <v>5.5555555555555558E-3</v>
      </c>
      <c r="U8" s="75">
        <v>5.5555555555555558E-3</v>
      </c>
      <c r="V8" s="75">
        <v>4.1666666666666666E-3</v>
      </c>
      <c r="W8" s="86">
        <v>8.3333333333333332E-3</v>
      </c>
      <c r="X8" s="86">
        <v>0</v>
      </c>
      <c r="Y8" s="109">
        <v>3.3333333333333333E-2</v>
      </c>
      <c r="AA8" s="111" t="s">
        <v>143</v>
      </c>
      <c r="AB8" s="75">
        <v>9.7222222222222224E-3</v>
      </c>
      <c r="AC8" s="75">
        <v>4.1666666666666666E-3</v>
      </c>
      <c r="AD8" s="75">
        <v>4.1666666666666666E-3</v>
      </c>
      <c r="AE8" s="117"/>
      <c r="AF8" s="109">
        <f>SUM(AB8:AE8)</f>
        <v>1.8055555555555554E-2</v>
      </c>
      <c r="AI8" s="346"/>
      <c r="AJ8" s="130" t="s">
        <v>118</v>
      </c>
      <c r="AK8" s="139">
        <v>0.28819444444444442</v>
      </c>
      <c r="AL8" s="141">
        <v>0.25277777777777777</v>
      </c>
      <c r="AM8" s="140">
        <v>0.16666666666666666</v>
      </c>
      <c r="AN8" s="140">
        <v>0.16666666666666666</v>
      </c>
      <c r="AO8" s="142">
        <v>0.16666666666666666</v>
      </c>
      <c r="AP8" s="142">
        <v>0.16666666666666666</v>
      </c>
    </row>
    <row r="9" spans="2:42" x14ac:dyDescent="0.25">
      <c r="B9" s="68" t="s">
        <v>144</v>
      </c>
      <c r="C9" s="158" t="s">
        <v>145</v>
      </c>
      <c r="D9" s="158" t="s">
        <v>145</v>
      </c>
      <c r="E9" s="158" t="s">
        <v>145</v>
      </c>
      <c r="F9" s="158" t="s">
        <v>145</v>
      </c>
      <c r="G9" s="159">
        <v>1</v>
      </c>
      <c r="I9" s="68" t="s">
        <v>144</v>
      </c>
      <c r="J9" s="158" t="s">
        <v>145</v>
      </c>
      <c r="K9" s="158" t="s">
        <v>145</v>
      </c>
      <c r="L9" s="158" t="s">
        <v>145</v>
      </c>
      <c r="M9" s="158" t="s">
        <v>145</v>
      </c>
      <c r="N9" s="160" t="s">
        <v>145</v>
      </c>
      <c r="O9" s="159">
        <v>1</v>
      </c>
      <c r="R9" s="68" t="s">
        <v>144</v>
      </c>
      <c r="S9" s="66" t="s">
        <v>145</v>
      </c>
      <c r="T9" s="66" t="s">
        <v>145</v>
      </c>
      <c r="U9" s="66" t="s">
        <v>145</v>
      </c>
      <c r="V9" s="66" t="s">
        <v>146</v>
      </c>
      <c r="W9" s="89" t="s">
        <v>146</v>
      </c>
      <c r="X9" s="89" t="s">
        <v>146</v>
      </c>
      <c r="Y9" s="67">
        <v>2</v>
      </c>
      <c r="AA9" s="68" t="s">
        <v>144</v>
      </c>
      <c r="AB9" s="158" t="s">
        <v>145</v>
      </c>
      <c r="AC9" s="158" t="s">
        <v>145</v>
      </c>
      <c r="AD9" s="158" t="s">
        <v>146</v>
      </c>
      <c r="AE9" s="158" t="s">
        <v>146</v>
      </c>
      <c r="AF9" s="159">
        <v>2</v>
      </c>
      <c r="AI9" s="346"/>
      <c r="AJ9" s="130" t="s">
        <v>133</v>
      </c>
      <c r="AK9" s="139">
        <v>0.54027777777777775</v>
      </c>
      <c r="AL9" s="141">
        <v>0.59861111111111109</v>
      </c>
      <c r="AM9" s="140">
        <v>0.81527777777777777</v>
      </c>
      <c r="AN9" s="140">
        <v>0.81527777777777777</v>
      </c>
      <c r="AO9" s="142">
        <v>0.72083333333333333</v>
      </c>
      <c r="AP9" s="142">
        <v>0.72083333333333333</v>
      </c>
    </row>
    <row r="10" spans="2:42" x14ac:dyDescent="0.25">
      <c r="B10" s="68" t="s">
        <v>147</v>
      </c>
      <c r="C10" s="73">
        <f>Enunciado!D7</f>
        <v>8</v>
      </c>
      <c r="D10" s="73">
        <f>Enunciado!D15</f>
        <v>7</v>
      </c>
      <c r="E10" s="73">
        <f>Enunciado!D13</f>
        <v>4</v>
      </c>
      <c r="F10" s="73">
        <v>0</v>
      </c>
      <c r="G10" s="262">
        <f>SUM(C10:F10)</f>
        <v>19</v>
      </c>
      <c r="I10" s="68" t="s">
        <v>147</v>
      </c>
      <c r="J10" s="73">
        <f>Enunciado!D8</f>
        <v>5</v>
      </c>
      <c r="K10" s="73">
        <f>Enunciado!D11</f>
        <v>4</v>
      </c>
      <c r="L10" s="73">
        <f>Enunciado!D6</f>
        <v>3</v>
      </c>
      <c r="M10" s="73">
        <f>Enunciado!D4</f>
        <v>3</v>
      </c>
      <c r="N10" s="87">
        <v>0</v>
      </c>
      <c r="O10" s="262">
        <f>SUM(J10:N10)</f>
        <v>15</v>
      </c>
      <c r="R10" s="68" t="s">
        <v>147</v>
      </c>
      <c r="S10" s="73">
        <f>Enunciado!D12</f>
        <v>6</v>
      </c>
      <c r="T10" s="73">
        <f>Enunciado!D10</f>
        <v>4</v>
      </c>
      <c r="U10" s="73">
        <f>Enunciado!D9</f>
        <v>4</v>
      </c>
      <c r="V10" s="73">
        <f>Enunciado!D3</f>
        <v>3</v>
      </c>
      <c r="W10" s="87">
        <f>Enunciado!D5</f>
        <v>10</v>
      </c>
      <c r="X10" s="87">
        <v>0</v>
      </c>
      <c r="Y10" s="285">
        <f>SUM(S10:X10)</f>
        <v>27</v>
      </c>
      <c r="AA10" s="68" t="s">
        <v>147</v>
      </c>
      <c r="AB10" s="66">
        <f>Enunciado!D16</f>
        <v>7</v>
      </c>
      <c r="AC10" s="66">
        <f>Enunciado!D14</f>
        <v>3</v>
      </c>
      <c r="AD10" s="66">
        <f>Enunciado!D17</f>
        <v>3</v>
      </c>
      <c r="AE10" s="157"/>
      <c r="AF10" s="263">
        <f>SUM(AB10:AE10)</f>
        <v>13</v>
      </c>
      <c r="AI10" s="346" t="s">
        <v>148</v>
      </c>
      <c r="AJ10" s="130" t="s">
        <v>132</v>
      </c>
      <c r="AK10" s="136" t="s">
        <v>178</v>
      </c>
      <c r="AL10" s="138" t="s">
        <v>179</v>
      </c>
      <c r="AM10" s="135" t="s">
        <v>176</v>
      </c>
      <c r="AN10" s="137" t="s">
        <v>177</v>
      </c>
      <c r="AO10" s="138" t="s">
        <v>179</v>
      </c>
      <c r="AP10" s="136" t="s">
        <v>178</v>
      </c>
    </row>
    <row r="11" spans="2:42" x14ac:dyDescent="0.25">
      <c r="B11" s="68" t="s">
        <v>149</v>
      </c>
      <c r="C11" s="73">
        <v>78</v>
      </c>
      <c r="D11" s="73">
        <v>50</v>
      </c>
      <c r="E11" s="73">
        <v>99</v>
      </c>
      <c r="F11" s="73">
        <v>123</v>
      </c>
      <c r="G11" s="74">
        <f>SUM(C11:F11)</f>
        <v>350</v>
      </c>
      <c r="I11" s="68" t="s">
        <v>149</v>
      </c>
      <c r="J11" s="73">
        <v>140</v>
      </c>
      <c r="K11" s="73">
        <v>85</v>
      </c>
      <c r="L11" s="73">
        <v>78</v>
      </c>
      <c r="M11" s="73">
        <v>99</v>
      </c>
      <c r="N11" s="87">
        <v>157</v>
      </c>
      <c r="O11" s="74">
        <f>SUM(J11:N11)</f>
        <v>559</v>
      </c>
      <c r="R11" s="68" t="s">
        <v>149</v>
      </c>
      <c r="S11" s="73">
        <v>297</v>
      </c>
      <c r="T11" s="73">
        <v>62</v>
      </c>
      <c r="U11" s="73">
        <v>160</v>
      </c>
      <c r="V11" s="73">
        <v>60</v>
      </c>
      <c r="W11" s="87">
        <v>148</v>
      </c>
      <c r="X11" s="87">
        <v>250</v>
      </c>
      <c r="Y11" s="74">
        <f t="shared" ref="Y11:Y12" si="1">SUM(S11:X11)</f>
        <v>977</v>
      </c>
      <c r="AA11" s="68" t="s">
        <v>149</v>
      </c>
      <c r="AB11" s="66">
        <v>307</v>
      </c>
      <c r="AC11" s="66">
        <v>146</v>
      </c>
      <c r="AD11" s="66">
        <v>182</v>
      </c>
      <c r="AE11" s="66">
        <v>156</v>
      </c>
      <c r="AF11" s="67">
        <f>SUM(AB11:AE11)</f>
        <v>791</v>
      </c>
      <c r="AI11" s="346"/>
      <c r="AJ11" s="130" t="s">
        <v>134</v>
      </c>
      <c r="AK11" s="136" t="s">
        <v>182</v>
      </c>
      <c r="AL11" s="138" t="s">
        <v>185</v>
      </c>
      <c r="AM11" s="135" t="s">
        <v>180</v>
      </c>
      <c r="AN11" s="137" t="s">
        <v>181</v>
      </c>
      <c r="AO11" s="138" t="s">
        <v>184</v>
      </c>
      <c r="AP11" s="136" t="s">
        <v>183</v>
      </c>
    </row>
    <row r="12" spans="2:42" x14ac:dyDescent="0.25">
      <c r="B12" s="68" t="s">
        <v>150</v>
      </c>
      <c r="C12" s="127">
        <f>Portagens!G3</f>
        <v>4.05</v>
      </c>
      <c r="D12" s="127">
        <f>Portagens!O8</f>
        <v>2.35</v>
      </c>
      <c r="E12" s="127">
        <f>Portagens!O14</f>
        <v>9</v>
      </c>
      <c r="F12" s="127">
        <f>Portagens!M3</f>
        <v>2.15</v>
      </c>
      <c r="G12" s="283">
        <f>SUM(C12:F12)</f>
        <v>17.55</v>
      </c>
      <c r="I12" s="68" t="s">
        <v>150</v>
      </c>
      <c r="J12" s="127">
        <f>Portagens!H3</f>
        <v>11.1</v>
      </c>
      <c r="K12" s="127">
        <f>Portagens!K9</f>
        <v>0</v>
      </c>
      <c r="L12" s="127">
        <f>Portagens!K7</f>
        <v>2.5499999999999998</v>
      </c>
      <c r="M12" s="127">
        <f>Portagens!F6</f>
        <v>3.1</v>
      </c>
      <c r="N12" s="128">
        <f>Portagens!E3</f>
        <v>7.35</v>
      </c>
      <c r="O12" s="286">
        <f>SUM(J12:N12)</f>
        <v>24.1</v>
      </c>
      <c r="R12" s="68" t="s">
        <v>150</v>
      </c>
      <c r="S12" s="127">
        <f>Portagens!L3</f>
        <v>23</v>
      </c>
      <c r="T12" s="127">
        <f>Portagens!L11</f>
        <v>4.1500000000000004</v>
      </c>
      <c r="U12" s="127">
        <f>Portagens!J10</f>
        <v>7.9</v>
      </c>
      <c r="V12" s="127">
        <f>Portagens!I5</f>
        <v>0</v>
      </c>
      <c r="W12" s="128">
        <f>Portagens!D4</f>
        <v>5.6</v>
      </c>
      <c r="X12" s="128">
        <f>Portagens!C3</f>
        <v>19.399999999999999</v>
      </c>
      <c r="Y12" s="283">
        <f t="shared" si="1"/>
        <v>60.05</v>
      </c>
      <c r="AA12" s="68" t="s">
        <v>150</v>
      </c>
      <c r="AB12" s="127">
        <f>Portagens!P3</f>
        <v>27.4</v>
      </c>
      <c r="AC12" s="127">
        <f>Portagens!P15</f>
        <v>7.1</v>
      </c>
      <c r="AD12" s="127">
        <f>Portagens!Q15</f>
        <v>3</v>
      </c>
      <c r="AE12" s="127">
        <f>Portagens!Q3</f>
        <v>4.4000000000000004</v>
      </c>
      <c r="AF12" s="283">
        <f>SUM(AB12:AE12)</f>
        <v>41.9</v>
      </c>
      <c r="AI12" s="346"/>
      <c r="AJ12" s="130" t="s">
        <v>118</v>
      </c>
      <c r="AK12" s="140">
        <v>0.16666666666666666</v>
      </c>
      <c r="AL12" s="142">
        <v>0.16666666666666666</v>
      </c>
      <c r="AM12" s="139">
        <v>0.28819444444444442</v>
      </c>
      <c r="AN12" s="141">
        <v>0.25277777777777777</v>
      </c>
      <c r="AO12" s="142">
        <v>0.16666666666666666</v>
      </c>
      <c r="AP12" s="140">
        <v>0.16666666666666666</v>
      </c>
    </row>
    <row r="13" spans="2:42" ht="15.75" thickBot="1" x14ac:dyDescent="0.3">
      <c r="B13" s="69" t="s">
        <v>151</v>
      </c>
      <c r="C13" s="70" t="s">
        <v>44</v>
      </c>
      <c r="D13" s="70" t="s">
        <v>71</v>
      </c>
      <c r="E13" s="70" t="s">
        <v>66</v>
      </c>
      <c r="F13" s="85" t="s">
        <v>152</v>
      </c>
      <c r="G13" s="107"/>
      <c r="I13" s="69" t="s">
        <v>151</v>
      </c>
      <c r="J13" s="70" t="s">
        <v>49</v>
      </c>
      <c r="K13" s="70" t="s">
        <v>60</v>
      </c>
      <c r="L13" s="70" t="s">
        <v>36</v>
      </c>
      <c r="M13" s="85" t="s">
        <v>23</v>
      </c>
      <c r="N13" s="90" t="s">
        <v>152</v>
      </c>
      <c r="O13" s="107"/>
      <c r="R13" s="69" t="s">
        <v>151</v>
      </c>
      <c r="S13" s="70" t="s">
        <v>63</v>
      </c>
      <c r="T13" s="70" t="s">
        <v>56</v>
      </c>
      <c r="U13" s="70" t="s">
        <v>53</v>
      </c>
      <c r="V13" s="85" t="s">
        <v>19</v>
      </c>
      <c r="W13" s="90" t="s">
        <v>29</v>
      </c>
      <c r="X13" s="90" t="s">
        <v>152</v>
      </c>
      <c r="Y13" s="107"/>
      <c r="AA13" s="69" t="s">
        <v>151</v>
      </c>
      <c r="AB13" s="72" t="s">
        <v>74</v>
      </c>
      <c r="AC13" s="72" t="s">
        <v>69</v>
      </c>
      <c r="AD13" s="72" t="s">
        <v>77</v>
      </c>
      <c r="AE13" s="88" t="s">
        <v>152</v>
      </c>
      <c r="AF13" s="117"/>
      <c r="AI13" s="346"/>
      <c r="AJ13" s="130" t="s">
        <v>133</v>
      </c>
      <c r="AK13" s="140">
        <v>0.81527777777777777</v>
      </c>
      <c r="AL13" s="142">
        <v>0.72083333333333333</v>
      </c>
      <c r="AM13" s="139">
        <v>0.54027777777777775</v>
      </c>
      <c r="AN13" s="141">
        <v>0.59861111111111109</v>
      </c>
      <c r="AO13" s="142">
        <v>0.72083333333333333</v>
      </c>
      <c r="AP13" s="140">
        <v>0.81527777777777777</v>
      </c>
    </row>
    <row r="14" spans="2:42" x14ac:dyDescent="0.25">
      <c r="AI14" s="346" t="s">
        <v>153</v>
      </c>
      <c r="AJ14" s="130" t="s">
        <v>132</v>
      </c>
      <c r="AK14" s="135" t="s">
        <v>176</v>
      </c>
      <c r="AL14" s="136" t="s">
        <v>178</v>
      </c>
      <c r="AM14" s="136" t="s">
        <v>178</v>
      </c>
      <c r="AN14" s="138" t="s">
        <v>179</v>
      </c>
      <c r="AO14" s="138" t="s">
        <v>179</v>
      </c>
      <c r="AP14" s="137" t="s">
        <v>177</v>
      </c>
    </row>
    <row r="15" spans="2:42" x14ac:dyDescent="0.25">
      <c r="AI15" s="346"/>
      <c r="AJ15" s="130" t="s">
        <v>134</v>
      </c>
      <c r="AK15" s="135" t="s">
        <v>180</v>
      </c>
      <c r="AL15" s="136" t="s">
        <v>183</v>
      </c>
      <c r="AM15" s="136" t="s">
        <v>182</v>
      </c>
      <c r="AN15" s="138" t="s">
        <v>185</v>
      </c>
      <c r="AO15" s="138" t="s">
        <v>184</v>
      </c>
      <c r="AP15" s="137" t="s">
        <v>181</v>
      </c>
    </row>
    <row r="16" spans="2:42" x14ac:dyDescent="0.25">
      <c r="AI16" s="346"/>
      <c r="AJ16" s="130" t="s">
        <v>118</v>
      </c>
      <c r="AK16" s="139">
        <v>0.28819444444444442</v>
      </c>
      <c r="AL16" s="140">
        <v>0.16666666666666666</v>
      </c>
      <c r="AM16" s="140">
        <v>0.16666666666666666</v>
      </c>
      <c r="AN16" s="142">
        <v>0.16666666666666666</v>
      </c>
      <c r="AO16" s="142">
        <v>0.16666666666666666</v>
      </c>
      <c r="AP16" s="141">
        <v>0.25277777777777777</v>
      </c>
    </row>
    <row r="17" spans="35:42" x14ac:dyDescent="0.25">
      <c r="AI17" s="346"/>
      <c r="AJ17" s="130" t="s">
        <v>133</v>
      </c>
      <c r="AK17" s="139">
        <v>0.54027777777777775</v>
      </c>
      <c r="AL17" s="252">
        <v>0.81527777777777777</v>
      </c>
      <c r="AM17" s="252">
        <v>0.81527777777777777</v>
      </c>
      <c r="AN17" s="142">
        <v>0.72083333333333333</v>
      </c>
      <c r="AO17" s="142">
        <v>0.72083333333333333</v>
      </c>
      <c r="AP17" s="141">
        <v>0.59861111111111109</v>
      </c>
    </row>
    <row r="18" spans="35:42" x14ac:dyDescent="0.25">
      <c r="AI18" s="346" t="s">
        <v>157</v>
      </c>
      <c r="AJ18" s="130" t="s">
        <v>132</v>
      </c>
      <c r="AK18" s="136" t="s">
        <v>178</v>
      </c>
      <c r="AL18" s="137" t="s">
        <v>177</v>
      </c>
      <c r="AM18" s="135" t="s">
        <v>176</v>
      </c>
      <c r="AN18" s="136" t="s">
        <v>178</v>
      </c>
      <c r="AO18" s="138" t="s">
        <v>179</v>
      </c>
      <c r="AP18" s="138" t="s">
        <v>179</v>
      </c>
    </row>
    <row r="19" spans="35:42" x14ac:dyDescent="0.25">
      <c r="AI19" s="346"/>
      <c r="AJ19" s="130" t="s">
        <v>134</v>
      </c>
      <c r="AK19" s="136" t="s">
        <v>182</v>
      </c>
      <c r="AL19" s="137" t="s">
        <v>181</v>
      </c>
      <c r="AM19" s="135" t="s">
        <v>180</v>
      </c>
      <c r="AN19" s="136" t="s">
        <v>183</v>
      </c>
      <c r="AO19" s="138" t="s">
        <v>184</v>
      </c>
      <c r="AP19" s="138" t="s">
        <v>185</v>
      </c>
    </row>
    <row r="20" spans="35:42" x14ac:dyDescent="0.25">
      <c r="AI20" s="346"/>
      <c r="AJ20" s="130" t="s">
        <v>118</v>
      </c>
      <c r="AK20" s="140">
        <v>0.16666666666666666</v>
      </c>
      <c r="AL20" s="141">
        <v>0.25277777777777777</v>
      </c>
      <c r="AM20" s="139">
        <v>0.28819444444444442</v>
      </c>
      <c r="AN20" s="140">
        <v>0.16666666666666666</v>
      </c>
      <c r="AO20" s="142">
        <v>0.16666666666666666</v>
      </c>
      <c r="AP20" s="142">
        <v>0.16666666666666666</v>
      </c>
    </row>
    <row r="21" spans="35:42" x14ac:dyDescent="0.25">
      <c r="AI21" s="346"/>
      <c r="AJ21" s="130" t="s">
        <v>133</v>
      </c>
      <c r="AK21" s="140">
        <v>0.81527777777777777</v>
      </c>
      <c r="AL21" s="141">
        <v>0.59861111111111109</v>
      </c>
      <c r="AM21" s="139">
        <v>0.54027777777777775</v>
      </c>
      <c r="AN21" s="140">
        <v>0.81527777777777777</v>
      </c>
      <c r="AO21" s="142">
        <v>0.72083333333333333</v>
      </c>
      <c r="AP21" s="142">
        <v>0.72083333333333333</v>
      </c>
    </row>
    <row r="22" spans="35:42" x14ac:dyDescent="0.25">
      <c r="AI22" s="346" t="s">
        <v>158</v>
      </c>
      <c r="AJ22" s="130" t="s">
        <v>132</v>
      </c>
      <c r="AK22" s="135" t="s">
        <v>176</v>
      </c>
      <c r="AL22" s="138" t="s">
        <v>179</v>
      </c>
      <c r="AM22" s="136" t="s">
        <v>178</v>
      </c>
      <c r="AN22" s="137" t="s">
        <v>177</v>
      </c>
      <c r="AO22" s="138" t="s">
        <v>179</v>
      </c>
      <c r="AP22" s="136" t="s">
        <v>178</v>
      </c>
    </row>
    <row r="23" spans="35:42" x14ac:dyDescent="0.25">
      <c r="AI23" s="346"/>
      <c r="AJ23" s="130" t="s">
        <v>134</v>
      </c>
      <c r="AK23" s="135" t="s">
        <v>180</v>
      </c>
      <c r="AL23" s="138" t="s">
        <v>185</v>
      </c>
      <c r="AM23" s="136" t="s">
        <v>182</v>
      </c>
      <c r="AN23" s="137" t="s">
        <v>181</v>
      </c>
      <c r="AO23" s="138" t="s">
        <v>184</v>
      </c>
      <c r="AP23" s="136" t="s">
        <v>183</v>
      </c>
    </row>
    <row r="24" spans="35:42" x14ac:dyDescent="0.25">
      <c r="AI24" s="346"/>
      <c r="AJ24" s="130" t="s">
        <v>118</v>
      </c>
      <c r="AK24" s="139">
        <v>0.28819444444444442</v>
      </c>
      <c r="AL24" s="142">
        <v>0.16666666666666666</v>
      </c>
      <c r="AM24" s="140">
        <v>0.16666666666666666</v>
      </c>
      <c r="AN24" s="141">
        <v>0.25277777777777777</v>
      </c>
      <c r="AO24" s="142">
        <v>0.16666666666666666</v>
      </c>
      <c r="AP24" s="140">
        <v>0.16666666666666666</v>
      </c>
    </row>
    <row r="25" spans="35:42" x14ac:dyDescent="0.25">
      <c r="AI25" s="346"/>
      <c r="AJ25" s="130" t="s">
        <v>133</v>
      </c>
      <c r="AK25" s="139">
        <v>0.54027777777777775</v>
      </c>
      <c r="AL25" s="142">
        <v>0.72083333333333333</v>
      </c>
      <c r="AM25" s="140">
        <v>0.81527777777777777</v>
      </c>
      <c r="AN25" s="141">
        <v>0.59861111111111109</v>
      </c>
      <c r="AO25" s="142">
        <v>0.72083333333333333</v>
      </c>
      <c r="AP25" s="140">
        <v>0.81527777777777777</v>
      </c>
    </row>
    <row r="26" spans="35:42" x14ac:dyDescent="0.25">
      <c r="AI26" s="346" t="s">
        <v>159</v>
      </c>
      <c r="AJ26" s="130" t="s">
        <v>132</v>
      </c>
      <c r="AK26" s="136" t="s">
        <v>178</v>
      </c>
      <c r="AL26" s="136" t="s">
        <v>178</v>
      </c>
      <c r="AM26" s="135" t="s">
        <v>176</v>
      </c>
      <c r="AN26" s="138" t="s">
        <v>179</v>
      </c>
      <c r="AO26" s="138" t="s">
        <v>179</v>
      </c>
      <c r="AP26" s="137" t="s">
        <v>177</v>
      </c>
    </row>
    <row r="27" spans="35:42" x14ac:dyDescent="0.25">
      <c r="AI27" s="346"/>
      <c r="AJ27" s="130" t="s">
        <v>134</v>
      </c>
      <c r="AK27" s="136" t="s">
        <v>182</v>
      </c>
      <c r="AL27" s="136" t="s">
        <v>183</v>
      </c>
      <c r="AM27" s="135" t="s">
        <v>180</v>
      </c>
      <c r="AN27" s="138" t="s">
        <v>185</v>
      </c>
      <c r="AO27" s="138" t="s">
        <v>184</v>
      </c>
      <c r="AP27" s="137" t="s">
        <v>181</v>
      </c>
    </row>
    <row r="28" spans="35:42" x14ac:dyDescent="0.25">
      <c r="AI28" s="346"/>
      <c r="AJ28" s="130" t="s">
        <v>118</v>
      </c>
      <c r="AK28" s="140">
        <v>0.16666666666666666</v>
      </c>
      <c r="AL28" s="140">
        <v>0.16666666666666666</v>
      </c>
      <c r="AM28" s="139">
        <v>0.28819444444444442</v>
      </c>
      <c r="AN28" s="142">
        <v>0.16666666666666666</v>
      </c>
      <c r="AO28" s="142">
        <v>0.16666666666666666</v>
      </c>
      <c r="AP28" s="141">
        <v>0.25277777777777777</v>
      </c>
    </row>
    <row r="29" spans="35:42" x14ac:dyDescent="0.25">
      <c r="AI29" s="346"/>
      <c r="AJ29" s="130" t="s">
        <v>133</v>
      </c>
      <c r="AK29" s="252">
        <v>0.81527777777777777</v>
      </c>
      <c r="AL29" s="252">
        <v>0.81527777777777777</v>
      </c>
      <c r="AM29" s="139">
        <v>0.54027777777777775</v>
      </c>
      <c r="AN29" s="142">
        <v>0.72083333333333333</v>
      </c>
      <c r="AO29" s="142">
        <v>0.72083333333333333</v>
      </c>
      <c r="AP29" s="141">
        <v>0.59861111111111109</v>
      </c>
    </row>
    <row r="30" spans="35:42" x14ac:dyDescent="0.25">
      <c r="AI30" s="361" t="s">
        <v>160</v>
      </c>
      <c r="AJ30" s="362"/>
      <c r="AK30" s="161" t="s">
        <v>186</v>
      </c>
      <c r="AL30" s="161" t="s">
        <v>187</v>
      </c>
      <c r="AM30" s="161" t="s">
        <v>186</v>
      </c>
      <c r="AN30" s="161" t="s">
        <v>187</v>
      </c>
      <c r="AO30" s="161" t="s">
        <v>188</v>
      </c>
      <c r="AP30" s="162" t="s">
        <v>187</v>
      </c>
    </row>
    <row r="31" spans="35:42" x14ac:dyDescent="0.25">
      <c r="AI31" s="358" t="s">
        <v>168</v>
      </c>
      <c r="AJ31" s="359"/>
      <c r="AK31" s="359"/>
      <c r="AL31" s="359"/>
      <c r="AM31" s="359"/>
      <c r="AN31" s="359"/>
      <c r="AO31" s="359"/>
      <c r="AP31" s="360"/>
    </row>
    <row r="32" spans="35:42" x14ac:dyDescent="0.25">
      <c r="AI32" s="358"/>
      <c r="AJ32" s="359"/>
      <c r="AK32" s="359" t="s">
        <v>119</v>
      </c>
      <c r="AL32" s="359"/>
      <c r="AM32" s="359"/>
      <c r="AN32" s="359"/>
      <c r="AO32" s="359"/>
      <c r="AP32" s="360"/>
    </row>
    <row r="33" spans="35:42" x14ac:dyDescent="0.25">
      <c r="AI33" s="358"/>
      <c r="AJ33" s="359"/>
      <c r="AK33" s="66" t="s">
        <v>122</v>
      </c>
      <c r="AL33" s="66" t="s">
        <v>123</v>
      </c>
      <c r="AM33" s="66" t="s">
        <v>124</v>
      </c>
      <c r="AN33" s="66" t="s">
        <v>125</v>
      </c>
      <c r="AO33" s="66" t="s">
        <v>126</v>
      </c>
      <c r="AP33" s="67" t="s">
        <v>127</v>
      </c>
    </row>
    <row r="34" spans="35:42" x14ac:dyDescent="0.25">
      <c r="AI34" s="346" t="s">
        <v>131</v>
      </c>
      <c r="AJ34" s="130" t="s">
        <v>132</v>
      </c>
      <c r="AK34" s="137" t="s">
        <v>177</v>
      </c>
      <c r="AL34" s="135" t="s">
        <v>176</v>
      </c>
      <c r="AM34" s="136" t="s">
        <v>178</v>
      </c>
      <c r="AN34" s="136" t="s">
        <v>178</v>
      </c>
      <c r="AO34" s="138" t="s">
        <v>179</v>
      </c>
      <c r="AP34" s="138" t="s">
        <v>179</v>
      </c>
    </row>
    <row r="35" spans="35:42" x14ac:dyDescent="0.25">
      <c r="AI35" s="346"/>
      <c r="AJ35" s="130" t="s">
        <v>134</v>
      </c>
      <c r="AK35" s="137" t="s">
        <v>181</v>
      </c>
      <c r="AL35" s="135" t="s">
        <v>180</v>
      </c>
      <c r="AM35" s="136" t="s">
        <v>183</v>
      </c>
      <c r="AN35" s="136" t="s">
        <v>182</v>
      </c>
      <c r="AO35" s="138" t="s">
        <v>185</v>
      </c>
      <c r="AP35" s="138" t="s">
        <v>184</v>
      </c>
    </row>
    <row r="36" spans="35:42" x14ac:dyDescent="0.25">
      <c r="AI36" s="346"/>
      <c r="AJ36" s="130" t="s">
        <v>118</v>
      </c>
      <c r="AK36" s="141">
        <v>0.25277777777777777</v>
      </c>
      <c r="AL36" s="139">
        <v>0.28819444444444442</v>
      </c>
      <c r="AM36" s="140">
        <v>0.16666666666666666</v>
      </c>
      <c r="AN36" s="140">
        <v>0.16666666666666666</v>
      </c>
      <c r="AO36" s="142">
        <v>0.16666666666666666</v>
      </c>
      <c r="AP36" s="142">
        <v>0.16666666666666666</v>
      </c>
    </row>
    <row r="37" spans="35:42" x14ac:dyDescent="0.25">
      <c r="AI37" s="346"/>
      <c r="AJ37" s="130" t="s">
        <v>133</v>
      </c>
      <c r="AK37" s="141">
        <v>0.59861111111111109</v>
      </c>
      <c r="AL37" s="139">
        <v>0.54027777777777775</v>
      </c>
      <c r="AM37" s="252">
        <v>0.81527777777777777</v>
      </c>
      <c r="AN37" s="252">
        <v>0.81527777777777777</v>
      </c>
      <c r="AO37" s="142">
        <v>0.72083333333333333</v>
      </c>
      <c r="AP37" s="142">
        <v>0.72083333333333333</v>
      </c>
    </row>
    <row r="38" spans="35:42" x14ac:dyDescent="0.25">
      <c r="AI38" s="346" t="s">
        <v>148</v>
      </c>
      <c r="AJ38" s="130" t="s">
        <v>132</v>
      </c>
      <c r="AK38" s="138" t="s">
        <v>179</v>
      </c>
      <c r="AL38" s="136" t="s">
        <v>178</v>
      </c>
      <c r="AM38" s="137" t="s">
        <v>177</v>
      </c>
      <c r="AN38" s="135" t="s">
        <v>176</v>
      </c>
      <c r="AO38" s="136" t="s">
        <v>178</v>
      </c>
      <c r="AP38" s="138" t="s">
        <v>179</v>
      </c>
    </row>
    <row r="39" spans="35:42" x14ac:dyDescent="0.25">
      <c r="AI39" s="346"/>
      <c r="AJ39" s="130" t="s">
        <v>134</v>
      </c>
      <c r="AK39" s="138" t="s">
        <v>185</v>
      </c>
      <c r="AL39" s="136" t="s">
        <v>182</v>
      </c>
      <c r="AM39" s="137" t="s">
        <v>181</v>
      </c>
      <c r="AN39" s="135" t="s">
        <v>180</v>
      </c>
      <c r="AO39" s="136" t="s">
        <v>183</v>
      </c>
      <c r="AP39" s="138" t="s">
        <v>184</v>
      </c>
    </row>
    <row r="40" spans="35:42" x14ac:dyDescent="0.25">
      <c r="AI40" s="346"/>
      <c r="AJ40" s="130" t="s">
        <v>118</v>
      </c>
      <c r="AK40" s="142">
        <v>0.16666666666666666</v>
      </c>
      <c r="AL40" s="140">
        <v>0.16666666666666666</v>
      </c>
      <c r="AM40" s="141">
        <v>0.25277777777777777</v>
      </c>
      <c r="AN40" s="139">
        <v>0.28819444444444442</v>
      </c>
      <c r="AO40" s="140">
        <v>0.16666666666666666</v>
      </c>
      <c r="AP40" s="142">
        <v>0.16666666666666666</v>
      </c>
    </row>
    <row r="41" spans="35:42" x14ac:dyDescent="0.25">
      <c r="AI41" s="346"/>
      <c r="AJ41" s="130" t="s">
        <v>133</v>
      </c>
      <c r="AK41" s="142">
        <v>0.72083333333333333</v>
      </c>
      <c r="AL41" s="140">
        <v>0.81527777777777777</v>
      </c>
      <c r="AM41" s="141">
        <v>0.59861111111111109</v>
      </c>
      <c r="AN41" s="139">
        <v>0.54027777777777775</v>
      </c>
      <c r="AO41" s="140">
        <v>0.81527777777777777</v>
      </c>
      <c r="AP41" s="142">
        <v>0.72083333333333333</v>
      </c>
    </row>
    <row r="42" spans="35:42" x14ac:dyDescent="0.25">
      <c r="AI42" s="346" t="s">
        <v>153</v>
      </c>
      <c r="AJ42" s="130" t="s">
        <v>132</v>
      </c>
      <c r="AK42" s="136" t="s">
        <v>178</v>
      </c>
      <c r="AL42" s="135" t="s">
        <v>176</v>
      </c>
      <c r="AM42" s="138" t="s">
        <v>179</v>
      </c>
      <c r="AN42" s="136" t="s">
        <v>178</v>
      </c>
      <c r="AO42" s="137" t="s">
        <v>177</v>
      </c>
      <c r="AP42" s="138" t="s">
        <v>179</v>
      </c>
    </row>
    <row r="43" spans="35:42" x14ac:dyDescent="0.25">
      <c r="AI43" s="346"/>
      <c r="AJ43" s="130" t="s">
        <v>134</v>
      </c>
      <c r="AK43" s="136" t="s">
        <v>183</v>
      </c>
      <c r="AL43" s="135" t="s">
        <v>180</v>
      </c>
      <c r="AM43" s="138" t="s">
        <v>185</v>
      </c>
      <c r="AN43" s="136" t="s">
        <v>182</v>
      </c>
      <c r="AO43" s="137" t="s">
        <v>181</v>
      </c>
      <c r="AP43" s="138" t="s">
        <v>184</v>
      </c>
    </row>
    <row r="44" spans="35:42" x14ac:dyDescent="0.25">
      <c r="AI44" s="346"/>
      <c r="AJ44" s="130" t="s">
        <v>118</v>
      </c>
      <c r="AK44" s="140">
        <v>0.16666666666666666</v>
      </c>
      <c r="AL44" s="139">
        <v>0.28819444444444442</v>
      </c>
      <c r="AM44" s="142">
        <v>0.16666666666666666</v>
      </c>
      <c r="AN44" s="140">
        <v>0.16666666666666666</v>
      </c>
      <c r="AO44" s="141">
        <v>0.25277777777777777</v>
      </c>
      <c r="AP44" s="142">
        <v>0.16666666666666666</v>
      </c>
    </row>
    <row r="45" spans="35:42" x14ac:dyDescent="0.25">
      <c r="AI45" s="346"/>
      <c r="AJ45" s="130" t="s">
        <v>133</v>
      </c>
      <c r="AK45" s="140">
        <v>0.81527777777777777</v>
      </c>
      <c r="AL45" s="139">
        <v>0.54027777777777775</v>
      </c>
      <c r="AM45" s="142">
        <v>0.72083333333333333</v>
      </c>
      <c r="AN45" s="140">
        <v>0.81527777777777777</v>
      </c>
      <c r="AO45" s="141">
        <v>0.59861111111111109</v>
      </c>
      <c r="AP45" s="142">
        <v>0.72083333333333333</v>
      </c>
    </row>
    <row r="46" spans="35:42" x14ac:dyDescent="0.25">
      <c r="AI46" s="346" t="s">
        <v>157</v>
      </c>
      <c r="AJ46" s="130" t="s">
        <v>132</v>
      </c>
      <c r="AK46" s="137" t="s">
        <v>177</v>
      </c>
      <c r="AL46" s="136" t="s">
        <v>178</v>
      </c>
      <c r="AM46" s="136" t="s">
        <v>178</v>
      </c>
      <c r="AN46" s="135" t="s">
        <v>176</v>
      </c>
      <c r="AO46" s="138" t="s">
        <v>179</v>
      </c>
      <c r="AP46" s="138" t="s">
        <v>179</v>
      </c>
    </row>
    <row r="47" spans="35:42" x14ac:dyDescent="0.25">
      <c r="AI47" s="346"/>
      <c r="AJ47" s="130" t="s">
        <v>134</v>
      </c>
      <c r="AK47" s="137" t="s">
        <v>181</v>
      </c>
      <c r="AL47" s="136" t="s">
        <v>182</v>
      </c>
      <c r="AM47" s="136" t="s">
        <v>183</v>
      </c>
      <c r="AN47" s="135" t="s">
        <v>180</v>
      </c>
      <c r="AO47" s="138" t="s">
        <v>185</v>
      </c>
      <c r="AP47" s="138" t="s">
        <v>184</v>
      </c>
    </row>
    <row r="48" spans="35:42" x14ac:dyDescent="0.25">
      <c r="AI48" s="346"/>
      <c r="AJ48" s="130" t="s">
        <v>118</v>
      </c>
      <c r="AK48" s="141">
        <v>0.25277777777777777</v>
      </c>
      <c r="AL48" s="140">
        <v>0.16666666666666666</v>
      </c>
      <c r="AM48" s="140">
        <v>0.16666666666666666</v>
      </c>
      <c r="AN48" s="139">
        <v>0.28819444444444442</v>
      </c>
      <c r="AO48" s="142">
        <v>0.16666666666666666</v>
      </c>
      <c r="AP48" s="142">
        <v>0.16666666666666666</v>
      </c>
    </row>
    <row r="49" spans="35:42" x14ac:dyDescent="0.25">
      <c r="AI49" s="346"/>
      <c r="AJ49" s="130" t="s">
        <v>133</v>
      </c>
      <c r="AK49" s="141">
        <v>0.59861111111111109</v>
      </c>
      <c r="AL49" s="252">
        <v>0.81527777777777777</v>
      </c>
      <c r="AM49" s="252">
        <v>0.81527777777777777</v>
      </c>
      <c r="AN49" s="139">
        <v>0.54027777777777775</v>
      </c>
      <c r="AO49" s="142">
        <v>0.72083333333333333</v>
      </c>
      <c r="AP49" s="142">
        <v>0.72083333333333333</v>
      </c>
    </row>
    <row r="50" spans="35:42" x14ac:dyDescent="0.25">
      <c r="AI50" s="346" t="s">
        <v>158</v>
      </c>
      <c r="AJ50" s="130" t="s">
        <v>132</v>
      </c>
      <c r="AK50" s="138" t="s">
        <v>179</v>
      </c>
      <c r="AL50" s="135" t="s">
        <v>176</v>
      </c>
      <c r="AM50" s="137" t="s">
        <v>177</v>
      </c>
      <c r="AN50" s="136" t="s">
        <v>178</v>
      </c>
      <c r="AO50" s="136" t="s">
        <v>178</v>
      </c>
      <c r="AP50" s="138" t="s">
        <v>179</v>
      </c>
    </row>
    <row r="51" spans="35:42" x14ac:dyDescent="0.25">
      <c r="AI51" s="346"/>
      <c r="AJ51" s="130" t="s">
        <v>134</v>
      </c>
      <c r="AK51" s="138" t="s">
        <v>185</v>
      </c>
      <c r="AL51" s="135" t="s">
        <v>180</v>
      </c>
      <c r="AM51" s="137" t="s">
        <v>181</v>
      </c>
      <c r="AN51" s="136" t="s">
        <v>182</v>
      </c>
      <c r="AO51" s="136" t="s">
        <v>183</v>
      </c>
      <c r="AP51" s="138" t="s">
        <v>184</v>
      </c>
    </row>
    <row r="52" spans="35:42" x14ac:dyDescent="0.25">
      <c r="AI52" s="346"/>
      <c r="AJ52" s="130" t="s">
        <v>118</v>
      </c>
      <c r="AK52" s="142">
        <v>0.16666666666666666</v>
      </c>
      <c r="AL52" s="139">
        <v>0.28819444444444442</v>
      </c>
      <c r="AM52" s="141">
        <v>0.25277777777777777</v>
      </c>
      <c r="AN52" s="140">
        <v>0.16666666666666666</v>
      </c>
      <c r="AO52" s="140">
        <v>0.16666666666666666</v>
      </c>
      <c r="AP52" s="142">
        <v>0.16666666666666666</v>
      </c>
    </row>
    <row r="53" spans="35:42" x14ac:dyDescent="0.25">
      <c r="AI53" s="346"/>
      <c r="AJ53" s="130" t="s">
        <v>133</v>
      </c>
      <c r="AK53" s="142">
        <v>0.72083333333333333</v>
      </c>
      <c r="AL53" s="139">
        <v>0.54027777777777775</v>
      </c>
      <c r="AM53" s="141">
        <v>0.59861111111111109</v>
      </c>
      <c r="AN53" s="252">
        <v>0.81527777777777777</v>
      </c>
      <c r="AO53" s="252">
        <v>0.81527777777777777</v>
      </c>
      <c r="AP53" s="142">
        <v>0.72083333333333333</v>
      </c>
    </row>
    <row r="54" spans="35:42" x14ac:dyDescent="0.25">
      <c r="AI54" s="346" t="s">
        <v>159</v>
      </c>
      <c r="AJ54" s="130" t="s">
        <v>132</v>
      </c>
      <c r="AK54" s="136" t="s">
        <v>178</v>
      </c>
      <c r="AL54" s="136" t="s">
        <v>178</v>
      </c>
      <c r="AM54" s="138" t="s">
        <v>179</v>
      </c>
      <c r="AN54" s="135" t="s">
        <v>176</v>
      </c>
      <c r="AO54" s="137" t="s">
        <v>177</v>
      </c>
      <c r="AP54" s="138" t="s">
        <v>179</v>
      </c>
    </row>
    <row r="55" spans="35:42" x14ac:dyDescent="0.25">
      <c r="AI55" s="346"/>
      <c r="AJ55" s="130" t="s">
        <v>134</v>
      </c>
      <c r="AK55" s="136" t="s">
        <v>183</v>
      </c>
      <c r="AL55" s="136" t="s">
        <v>182</v>
      </c>
      <c r="AM55" s="138" t="s">
        <v>185</v>
      </c>
      <c r="AN55" s="135" t="s">
        <v>180</v>
      </c>
      <c r="AO55" s="137" t="s">
        <v>181</v>
      </c>
      <c r="AP55" s="138" t="s">
        <v>184</v>
      </c>
    </row>
    <row r="56" spans="35:42" x14ac:dyDescent="0.25">
      <c r="AI56" s="346"/>
      <c r="AJ56" s="130" t="s">
        <v>118</v>
      </c>
      <c r="AK56" s="140">
        <v>0.16666666666666666</v>
      </c>
      <c r="AL56" s="140">
        <v>0.16666666666666666</v>
      </c>
      <c r="AM56" s="142">
        <v>0.16666666666666666</v>
      </c>
      <c r="AN56" s="139">
        <v>0.28819444444444442</v>
      </c>
      <c r="AO56" s="141">
        <v>0.25277777777777777</v>
      </c>
      <c r="AP56" s="142">
        <v>0.16666666666666666</v>
      </c>
    </row>
    <row r="57" spans="35:42" x14ac:dyDescent="0.25">
      <c r="AI57" s="346"/>
      <c r="AJ57" s="130" t="s">
        <v>133</v>
      </c>
      <c r="AK57" s="252">
        <v>0.81527777777777777</v>
      </c>
      <c r="AL57" s="252">
        <v>0.81527777777777777</v>
      </c>
      <c r="AM57" s="142">
        <v>0.72083333333333333</v>
      </c>
      <c r="AN57" s="139">
        <v>0.54027777777777775</v>
      </c>
      <c r="AO57" s="141">
        <v>0.59861111111111109</v>
      </c>
      <c r="AP57" s="142">
        <v>0.72083333333333333</v>
      </c>
    </row>
    <row r="58" spans="35:42" ht="15.75" thickBot="1" x14ac:dyDescent="0.3">
      <c r="AI58" s="371" t="s">
        <v>160</v>
      </c>
      <c r="AJ58" s="372"/>
      <c r="AK58" s="133" t="s">
        <v>187</v>
      </c>
      <c r="AL58" s="133" t="s">
        <v>186</v>
      </c>
      <c r="AM58" s="133" t="s">
        <v>187</v>
      </c>
      <c r="AN58" s="133" t="s">
        <v>188</v>
      </c>
      <c r="AO58" s="133" t="s">
        <v>187</v>
      </c>
      <c r="AP58" s="134" t="s">
        <v>189</v>
      </c>
    </row>
    <row r="59" spans="35:42" ht="15.75" thickBot="1" x14ac:dyDescent="0.3">
      <c r="AN59" s="131"/>
      <c r="AO59" s="132"/>
      <c r="AP59" s="132"/>
    </row>
    <row r="60" spans="35:42" x14ac:dyDescent="0.25">
      <c r="AI60" s="367" t="s">
        <v>169</v>
      </c>
      <c r="AJ60" s="368"/>
      <c r="AK60" s="365" t="s">
        <v>190</v>
      </c>
      <c r="AL60" s="365" t="s">
        <v>190</v>
      </c>
      <c r="AM60" s="365" t="s">
        <v>190</v>
      </c>
      <c r="AN60" s="365" t="s">
        <v>191</v>
      </c>
      <c r="AO60" s="365" t="s">
        <v>191</v>
      </c>
      <c r="AP60" s="365" t="s">
        <v>190</v>
      </c>
    </row>
    <row r="61" spans="35:42" ht="15.75" thickBot="1" x14ac:dyDescent="0.3">
      <c r="AI61" s="369"/>
      <c r="AJ61" s="370"/>
      <c r="AK61" s="366"/>
      <c r="AL61" s="366"/>
      <c r="AM61" s="366"/>
      <c r="AN61" s="366"/>
      <c r="AO61" s="366"/>
      <c r="AP61" s="366"/>
    </row>
  </sheetData>
  <mergeCells count="32">
    <mergeCell ref="R2:Y2"/>
    <mergeCell ref="B2:G2"/>
    <mergeCell ref="I2:O2"/>
    <mergeCell ref="AA2:AF2"/>
    <mergeCell ref="AI2:AP2"/>
    <mergeCell ref="AI10:AI13"/>
    <mergeCell ref="AI14:AI17"/>
    <mergeCell ref="AI3:AP3"/>
    <mergeCell ref="AI4:AJ5"/>
    <mergeCell ref="AK4:AP4"/>
    <mergeCell ref="AI6:AI9"/>
    <mergeCell ref="AI18:AI21"/>
    <mergeCell ref="AI22:AI25"/>
    <mergeCell ref="AI26:AI29"/>
    <mergeCell ref="AI30:AJ30"/>
    <mergeCell ref="AI31:AP31"/>
    <mergeCell ref="AI32:AJ33"/>
    <mergeCell ref="AK32:AP32"/>
    <mergeCell ref="AI50:AI53"/>
    <mergeCell ref="AI54:AI57"/>
    <mergeCell ref="AI42:AI45"/>
    <mergeCell ref="AI46:AI49"/>
    <mergeCell ref="AI34:AI37"/>
    <mergeCell ref="AI38:AI41"/>
    <mergeCell ref="AP60:AP61"/>
    <mergeCell ref="AN60:AN61"/>
    <mergeCell ref="AO60:AO61"/>
    <mergeCell ref="AI58:AJ58"/>
    <mergeCell ref="AI60:AJ61"/>
    <mergeCell ref="AK60:AK61"/>
    <mergeCell ref="AL60:AL61"/>
    <mergeCell ref="AM60:AM6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98F66-D488-4475-95F8-6905380FA857}">
  <sheetPr codeName="Folha14"/>
  <dimension ref="A2:O30"/>
  <sheetViews>
    <sheetView topLeftCell="A4" workbookViewId="0">
      <selection activeCell="I17" sqref="I17"/>
    </sheetView>
  </sheetViews>
  <sheetFormatPr defaultRowHeight="15" x14ac:dyDescent="0.25"/>
  <cols>
    <col min="2" max="2" width="20.140625" bestFit="1" customWidth="1"/>
    <col min="3" max="3" width="13.5703125" bestFit="1" customWidth="1"/>
    <col min="4" max="4" width="14.140625" bestFit="1" customWidth="1"/>
    <col min="5" max="5" width="16.140625" bestFit="1" customWidth="1"/>
    <col min="6" max="6" width="13" bestFit="1" customWidth="1"/>
    <col min="11" max="11" width="2.42578125" customWidth="1"/>
    <col min="12" max="12" width="21.5703125" bestFit="1" customWidth="1"/>
    <col min="13" max="13" width="14.5703125" bestFit="1" customWidth="1"/>
    <col min="14" max="14" width="21.85546875" bestFit="1" customWidth="1"/>
    <col min="15" max="15" width="16" bestFit="1" customWidth="1"/>
  </cols>
  <sheetData>
    <row r="2" spans="1:15" ht="15.75" thickBot="1" x14ac:dyDescent="0.3"/>
    <row r="3" spans="1:15" ht="15.75" thickBot="1" x14ac:dyDescent="0.3">
      <c r="B3" s="355" t="s">
        <v>192</v>
      </c>
      <c r="C3" s="356" t="s">
        <v>14</v>
      </c>
      <c r="D3" s="356"/>
      <c r="E3" s="357" t="s">
        <v>16</v>
      </c>
      <c r="K3" s="223"/>
      <c r="L3" s="223"/>
      <c r="M3" s="223"/>
      <c r="N3" s="223"/>
      <c r="O3" s="223"/>
    </row>
    <row r="4" spans="1:15" x14ac:dyDescent="0.25">
      <c r="B4" s="361"/>
      <c r="C4" s="70" t="s">
        <v>193</v>
      </c>
      <c r="D4" s="70" t="s">
        <v>194</v>
      </c>
      <c r="E4" s="377"/>
      <c r="K4" s="223"/>
      <c r="L4" s="355" t="s">
        <v>195</v>
      </c>
      <c r="M4" s="356"/>
      <c r="N4" s="356" t="s">
        <v>16</v>
      </c>
      <c r="O4" s="357"/>
    </row>
    <row r="5" spans="1:15" x14ac:dyDescent="0.25">
      <c r="B5" s="68" t="s">
        <v>24</v>
      </c>
      <c r="C5" s="214">
        <v>180</v>
      </c>
      <c r="D5" s="73">
        <v>1</v>
      </c>
      <c r="E5" s="67" t="s">
        <v>196</v>
      </c>
      <c r="K5" s="223"/>
      <c r="L5" s="68" t="s">
        <v>197</v>
      </c>
      <c r="M5" s="70" t="s">
        <v>198</v>
      </c>
      <c r="N5" s="70" t="s">
        <v>199</v>
      </c>
      <c r="O5" s="71" t="s">
        <v>200</v>
      </c>
    </row>
    <row r="6" spans="1:15" x14ac:dyDescent="0.25">
      <c r="B6" s="68" t="s">
        <v>30</v>
      </c>
      <c r="C6" s="214">
        <v>2100</v>
      </c>
      <c r="D6" s="73">
        <v>0.03</v>
      </c>
      <c r="E6" s="67" t="s">
        <v>31</v>
      </c>
      <c r="K6" s="223"/>
      <c r="L6" s="224">
        <v>18780</v>
      </c>
      <c r="M6" s="66">
        <v>5</v>
      </c>
      <c r="N6" s="127">
        <v>1.07</v>
      </c>
      <c r="O6" s="67">
        <v>3173</v>
      </c>
    </row>
    <row r="7" spans="1:15" ht="15.75" thickBot="1" x14ac:dyDescent="0.3">
      <c r="B7" s="68" t="s">
        <v>37</v>
      </c>
      <c r="C7" s="214">
        <v>10800</v>
      </c>
      <c r="D7" s="215">
        <v>0.04</v>
      </c>
      <c r="E7" s="216" t="s">
        <v>38</v>
      </c>
      <c r="K7" s="223"/>
      <c r="L7" s="68" t="s">
        <v>201</v>
      </c>
      <c r="M7" s="70" t="s">
        <v>202</v>
      </c>
      <c r="N7" s="70" t="s">
        <v>150</v>
      </c>
      <c r="O7" s="71" t="s">
        <v>203</v>
      </c>
    </row>
    <row r="8" spans="1:15" x14ac:dyDescent="0.25">
      <c r="B8" s="68" t="s">
        <v>45</v>
      </c>
      <c r="C8" s="217">
        <v>5700</v>
      </c>
      <c r="D8" s="218"/>
      <c r="E8" s="219"/>
      <c r="K8" s="223"/>
      <c r="L8" s="224">
        <v>27000</v>
      </c>
      <c r="M8" s="66">
        <v>7</v>
      </c>
      <c r="N8" s="127">
        <f>SUM('Rotas a)'!F12,'Rotas a)'!N12,'Rotas a)'!W12,'Rotas a)'!AE12,'Rotas a)'!AM12)</f>
        <v>163.65</v>
      </c>
      <c r="O8" s="67">
        <v>305</v>
      </c>
    </row>
    <row r="9" spans="1:15" ht="15.75" thickBot="1" x14ac:dyDescent="0.3">
      <c r="B9" s="69" t="s">
        <v>50</v>
      </c>
      <c r="C9" s="220">
        <v>27000</v>
      </c>
      <c r="D9" s="221"/>
      <c r="E9" s="222"/>
      <c r="K9" s="223"/>
      <c r="L9" s="68" t="s">
        <v>204</v>
      </c>
      <c r="M9" s="127">
        <f>L6*M6+L8*M8</f>
        <v>282900</v>
      </c>
      <c r="N9" s="70" t="s">
        <v>205</v>
      </c>
      <c r="O9" s="129">
        <f>N6*O6*O8+N8*O8</f>
        <v>1085421.8</v>
      </c>
    </row>
    <row r="10" spans="1:15" x14ac:dyDescent="0.25">
      <c r="K10" s="223"/>
      <c r="L10" s="361" t="s">
        <v>206</v>
      </c>
      <c r="M10" s="362"/>
      <c r="N10" s="362"/>
      <c r="O10" s="377"/>
    </row>
    <row r="11" spans="1:15" ht="15.75" thickBot="1" x14ac:dyDescent="0.3">
      <c r="A11" s="223"/>
      <c r="B11" s="223"/>
      <c r="C11" s="223"/>
      <c r="D11" s="223"/>
      <c r="E11" s="223"/>
      <c r="F11" s="223"/>
      <c r="K11" s="223"/>
      <c r="L11" s="378">
        <f>M9+O9</f>
        <v>1368321.8</v>
      </c>
      <c r="M11" s="379"/>
      <c r="N11" s="379"/>
      <c r="O11" s="380"/>
    </row>
    <row r="12" spans="1:15" x14ac:dyDescent="0.25">
      <c r="A12" s="223"/>
      <c r="B12" s="355" t="s">
        <v>192</v>
      </c>
      <c r="C12" s="356" t="s">
        <v>15</v>
      </c>
      <c r="D12" s="356"/>
      <c r="E12" s="357" t="s">
        <v>16</v>
      </c>
      <c r="F12" s="223"/>
      <c r="K12" s="223"/>
      <c r="L12" s="223"/>
      <c r="M12" s="223"/>
      <c r="N12" s="223"/>
      <c r="O12" s="223"/>
    </row>
    <row r="13" spans="1:15" x14ac:dyDescent="0.25">
      <c r="A13" s="223"/>
      <c r="B13" s="361"/>
      <c r="C13" s="70" t="s">
        <v>193</v>
      </c>
      <c r="D13" s="70" t="s">
        <v>194</v>
      </c>
      <c r="E13" s="377"/>
      <c r="F13" s="223"/>
      <c r="K13" s="223"/>
      <c r="L13" s="223"/>
      <c r="M13" s="223"/>
      <c r="N13" s="223"/>
      <c r="O13" s="223"/>
    </row>
    <row r="14" spans="1:15" ht="15.75" thickBot="1" x14ac:dyDescent="0.3">
      <c r="A14" s="223"/>
      <c r="B14" s="68" t="s">
        <v>24</v>
      </c>
      <c r="C14" s="214">
        <v>270</v>
      </c>
      <c r="D14" s="73">
        <v>1.1000000000000001</v>
      </c>
      <c r="E14" s="67" t="s">
        <v>196</v>
      </c>
      <c r="F14" s="223"/>
      <c r="K14" s="223"/>
      <c r="L14" s="223"/>
      <c r="M14" s="223"/>
      <c r="N14" s="223"/>
      <c r="O14" s="223"/>
    </row>
    <row r="15" spans="1:15" x14ac:dyDescent="0.25">
      <c r="A15" s="223"/>
      <c r="B15" s="68" t="s">
        <v>30</v>
      </c>
      <c r="C15" s="214">
        <v>2880</v>
      </c>
      <c r="D15" s="73">
        <v>0.05</v>
      </c>
      <c r="E15" s="67" t="s">
        <v>31</v>
      </c>
      <c r="F15" s="223"/>
      <c r="K15" s="223"/>
      <c r="L15" s="355" t="s">
        <v>195</v>
      </c>
      <c r="M15" s="356"/>
      <c r="N15" s="356" t="s">
        <v>16</v>
      </c>
      <c r="O15" s="357"/>
    </row>
    <row r="16" spans="1:15" ht="15.75" thickBot="1" x14ac:dyDescent="0.3">
      <c r="A16" s="223"/>
      <c r="B16" s="68" t="s">
        <v>37</v>
      </c>
      <c r="C16" s="214">
        <v>15600</v>
      </c>
      <c r="D16" s="215">
        <v>0.06</v>
      </c>
      <c r="E16" s="216" t="s">
        <v>38</v>
      </c>
      <c r="F16" s="223"/>
      <c r="K16" s="223"/>
      <c r="L16" s="68" t="s">
        <v>207</v>
      </c>
      <c r="M16" s="70" t="s">
        <v>198</v>
      </c>
      <c r="N16" s="70" t="s">
        <v>208</v>
      </c>
      <c r="O16" s="71" t="s">
        <v>200</v>
      </c>
    </row>
    <row r="17" spans="1:15" x14ac:dyDescent="0.25">
      <c r="A17" s="223"/>
      <c r="B17" s="68" t="s">
        <v>45</v>
      </c>
      <c r="C17" s="217">
        <v>11400</v>
      </c>
      <c r="D17" s="315"/>
      <c r="E17" s="316"/>
      <c r="F17" s="223"/>
      <c r="K17" s="223"/>
      <c r="L17" s="224">
        <v>30150</v>
      </c>
      <c r="M17" s="66">
        <v>4</v>
      </c>
      <c r="N17" s="127">
        <v>1.21</v>
      </c>
      <c r="O17" s="67">
        <v>2677</v>
      </c>
    </row>
    <row r="18" spans="1:15" ht="15.75" thickBot="1" x14ac:dyDescent="0.3">
      <c r="A18" s="223"/>
      <c r="B18" s="69" t="s">
        <v>50</v>
      </c>
      <c r="C18" s="220">
        <v>27000</v>
      </c>
      <c r="D18" s="317"/>
      <c r="E18" s="201"/>
      <c r="F18" s="223"/>
      <c r="K18" s="223"/>
      <c r="L18" s="68" t="s">
        <v>201</v>
      </c>
      <c r="M18" s="70" t="s">
        <v>202</v>
      </c>
      <c r="N18" s="70" t="s">
        <v>150</v>
      </c>
      <c r="O18" s="71" t="s">
        <v>203</v>
      </c>
    </row>
    <row r="19" spans="1:15" x14ac:dyDescent="0.25">
      <c r="A19" s="223"/>
      <c r="B19" s="223"/>
      <c r="C19" s="223"/>
      <c r="D19" s="223"/>
      <c r="E19" s="223"/>
      <c r="F19" s="223"/>
      <c r="K19" s="223"/>
      <c r="L19" s="224">
        <v>27000</v>
      </c>
      <c r="M19" s="66">
        <v>6</v>
      </c>
      <c r="N19" s="127">
        <f>SUM('Rotas b) melhoradas'!AF12,'Rotas b) melhoradas'!Y12,'Rotas b) melhoradas'!O12,'Rotas b) melhoradas'!G12)</f>
        <v>143.6</v>
      </c>
      <c r="O19" s="67">
        <v>305</v>
      </c>
    </row>
    <row r="20" spans="1:15" x14ac:dyDescent="0.25">
      <c r="K20" s="223"/>
      <c r="L20" s="68" t="s">
        <v>204</v>
      </c>
      <c r="M20" s="127">
        <f>L17*M17+L19*M19</f>
        <v>282600</v>
      </c>
      <c r="N20" s="70" t="s">
        <v>205</v>
      </c>
      <c r="O20" s="129">
        <f>N17*O17*O19+N19*O19</f>
        <v>1031744.85</v>
      </c>
    </row>
    <row r="21" spans="1:15" x14ac:dyDescent="0.25">
      <c r="K21" s="223"/>
      <c r="L21" s="361" t="s">
        <v>206</v>
      </c>
      <c r="M21" s="362"/>
      <c r="N21" s="362"/>
      <c r="O21" s="377"/>
    </row>
    <row r="22" spans="1:15" ht="15.75" thickBot="1" x14ac:dyDescent="0.3">
      <c r="K22" s="223"/>
      <c r="L22" s="378">
        <f>M20+O20</f>
        <v>1314344.8500000001</v>
      </c>
      <c r="M22" s="379"/>
      <c r="N22" s="379"/>
      <c r="O22" s="380"/>
    </row>
    <row r="23" spans="1:15" x14ac:dyDescent="0.25">
      <c r="K23" s="223"/>
      <c r="L23" s="223"/>
      <c r="M23" s="223"/>
      <c r="N23" s="223"/>
      <c r="O23" s="223"/>
    </row>
    <row r="26" spans="1:15" ht="15.75" thickBot="1" x14ac:dyDescent="0.3"/>
    <row r="27" spans="1:15" x14ac:dyDescent="0.25">
      <c r="B27" s="374" t="s">
        <v>209</v>
      </c>
      <c r="C27" s="375"/>
      <c r="D27" s="375"/>
      <c r="E27" s="375"/>
      <c r="F27" s="376"/>
    </row>
    <row r="28" spans="1:15" x14ac:dyDescent="0.25">
      <c r="B28" s="260"/>
      <c r="C28" s="254" t="s">
        <v>210</v>
      </c>
      <c r="D28" s="254" t="s">
        <v>211</v>
      </c>
      <c r="E28" s="254" t="s">
        <v>200</v>
      </c>
      <c r="F28" s="261" t="s">
        <v>212</v>
      </c>
    </row>
    <row r="29" spans="1:15" x14ac:dyDescent="0.25">
      <c r="B29" s="257" t="s">
        <v>213</v>
      </c>
      <c r="C29" s="258">
        <v>5</v>
      </c>
      <c r="D29" s="258">
        <v>7</v>
      </c>
      <c r="E29" s="258">
        <v>3173</v>
      </c>
      <c r="F29" s="259">
        <f>SUM(M9+O9)</f>
        <v>1368321.8</v>
      </c>
    </row>
    <row r="30" spans="1:15" ht="15.75" thickBot="1" x14ac:dyDescent="0.3">
      <c r="B30" s="255" t="s">
        <v>214</v>
      </c>
      <c r="C30" s="253">
        <v>4</v>
      </c>
      <c r="D30" s="253">
        <v>6</v>
      </c>
      <c r="E30" s="253">
        <v>2677</v>
      </c>
      <c r="F30" s="256">
        <f>SUM(M20+O20)</f>
        <v>1314344.8500000001</v>
      </c>
    </row>
  </sheetData>
  <mergeCells count="15">
    <mergeCell ref="L21:O21"/>
    <mergeCell ref="L22:O22"/>
    <mergeCell ref="L4:M4"/>
    <mergeCell ref="N4:O4"/>
    <mergeCell ref="L10:O10"/>
    <mergeCell ref="L11:O11"/>
    <mergeCell ref="L15:M15"/>
    <mergeCell ref="N15:O15"/>
    <mergeCell ref="B27:F27"/>
    <mergeCell ref="B3:B4"/>
    <mergeCell ref="C3:D3"/>
    <mergeCell ref="E3:E4"/>
    <mergeCell ref="B12:B13"/>
    <mergeCell ref="C12:D12"/>
    <mergeCell ref="E12:E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0E72C-837B-409B-8CED-47D5C7052025}">
  <sheetPr codeName="Folha8"/>
  <dimension ref="B1:C8"/>
  <sheetViews>
    <sheetView workbookViewId="0">
      <selection activeCell="C8" sqref="C8"/>
    </sheetView>
  </sheetViews>
  <sheetFormatPr defaultRowHeight="15" x14ac:dyDescent="0.25"/>
  <cols>
    <col min="2" max="2" width="13.85546875" customWidth="1"/>
    <col min="3" max="3" width="49.42578125" customWidth="1"/>
  </cols>
  <sheetData>
    <row r="1" spans="2:3" ht="15.75" thickBot="1" x14ac:dyDescent="0.3"/>
    <row r="2" spans="2:3" ht="15.75" thickBot="1" x14ac:dyDescent="0.3">
      <c r="B2" s="13" t="s">
        <v>11</v>
      </c>
      <c r="C2" s="12" t="s">
        <v>79</v>
      </c>
    </row>
    <row r="3" spans="2:3" ht="15.75" thickBot="1" x14ac:dyDescent="0.3">
      <c r="B3" s="94" t="s">
        <v>215</v>
      </c>
      <c r="C3" s="95" t="s">
        <v>216</v>
      </c>
    </row>
    <row r="4" spans="2:3" x14ac:dyDescent="0.25">
      <c r="B4" s="41" t="s">
        <v>217</v>
      </c>
      <c r="C4" s="42" t="s">
        <v>218</v>
      </c>
    </row>
    <row r="5" spans="2:3" x14ac:dyDescent="0.25">
      <c r="B5" s="39" t="s">
        <v>219</v>
      </c>
      <c r="C5" s="43" t="s">
        <v>220</v>
      </c>
    </row>
    <row r="6" spans="2:3" x14ac:dyDescent="0.25">
      <c r="B6" s="15" t="s">
        <v>221</v>
      </c>
      <c r="C6" s="44" t="s">
        <v>222</v>
      </c>
    </row>
    <row r="7" spans="2:3" ht="15.75" thickBot="1" x14ac:dyDescent="0.3">
      <c r="B7" s="39" t="s">
        <v>223</v>
      </c>
      <c r="C7" s="43" t="s">
        <v>224</v>
      </c>
    </row>
    <row r="8" spans="2:3" ht="15.75" thickBot="1" x14ac:dyDescent="0.3">
      <c r="B8" s="163" t="s">
        <v>80</v>
      </c>
      <c r="C8" s="164" t="s">
        <v>81</v>
      </c>
    </row>
  </sheetData>
  <phoneticPr fontId="1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A5D6-0E3A-4BB6-ADCD-34BDD5015FBB}">
  <sheetPr codeName="Folha10"/>
  <dimension ref="A1:G42"/>
  <sheetViews>
    <sheetView workbookViewId="0">
      <selection sqref="A1:G1"/>
    </sheetView>
  </sheetViews>
  <sheetFormatPr defaultRowHeight="15" x14ac:dyDescent="0.25"/>
  <cols>
    <col min="1" max="1" width="18.42578125" customWidth="1"/>
    <col min="2" max="7" width="15.140625" customWidth="1"/>
  </cols>
  <sheetData>
    <row r="1" spans="1:7" x14ac:dyDescent="0.25">
      <c r="A1" s="381" t="s">
        <v>225</v>
      </c>
      <c r="B1" s="382"/>
      <c r="C1" s="382"/>
      <c r="D1" s="382"/>
      <c r="E1" s="382"/>
      <c r="F1" s="382"/>
      <c r="G1" s="383"/>
    </row>
    <row r="2" spans="1:7" x14ac:dyDescent="0.25">
      <c r="A2" s="189"/>
      <c r="B2" s="185" t="s">
        <v>21</v>
      </c>
      <c r="C2" s="185" t="s">
        <v>215</v>
      </c>
      <c r="D2" s="185" t="s">
        <v>217</v>
      </c>
      <c r="E2" s="186" t="s">
        <v>219</v>
      </c>
      <c r="F2" s="186" t="s">
        <v>221</v>
      </c>
      <c r="G2" s="190" t="s">
        <v>223</v>
      </c>
    </row>
    <row r="3" spans="1:7" x14ac:dyDescent="0.25">
      <c r="A3" s="191" t="s">
        <v>21</v>
      </c>
      <c r="B3" s="2"/>
      <c r="C3" s="197">
        <v>2113</v>
      </c>
      <c r="D3" s="198"/>
      <c r="E3" s="198"/>
      <c r="F3" s="198"/>
      <c r="G3" s="199"/>
    </row>
    <row r="4" spans="1:7" ht="18.75" customHeight="1" x14ac:dyDescent="0.25">
      <c r="A4" s="192" t="s">
        <v>215</v>
      </c>
      <c r="B4" s="188"/>
      <c r="C4" s="2"/>
      <c r="D4" s="143">
        <v>91.5</v>
      </c>
      <c r="E4" s="143">
        <v>322</v>
      </c>
      <c r="F4" s="143">
        <v>181</v>
      </c>
      <c r="G4" s="200">
        <v>191</v>
      </c>
    </row>
    <row r="5" spans="1:7" ht="18.75" customHeight="1" x14ac:dyDescent="0.25">
      <c r="A5" s="192" t="s">
        <v>217</v>
      </c>
      <c r="B5" s="188"/>
      <c r="C5" s="201"/>
      <c r="D5" s="2"/>
      <c r="E5" s="197">
        <v>268</v>
      </c>
      <c r="F5" s="197">
        <v>138</v>
      </c>
      <c r="G5" s="202">
        <v>243</v>
      </c>
    </row>
    <row r="6" spans="1:7" ht="21.4" customHeight="1" x14ac:dyDescent="0.25">
      <c r="A6" s="191" t="s">
        <v>219</v>
      </c>
      <c r="B6" s="188"/>
      <c r="C6" s="201"/>
      <c r="D6" s="201"/>
      <c r="E6" s="2"/>
      <c r="F6" s="143">
        <v>131</v>
      </c>
      <c r="G6" s="200">
        <v>271</v>
      </c>
    </row>
    <row r="7" spans="1:7" ht="19.899999999999999" customHeight="1" x14ac:dyDescent="0.25">
      <c r="A7" s="191" t="s">
        <v>221</v>
      </c>
      <c r="B7" s="188"/>
      <c r="C7" s="201"/>
      <c r="D7" s="201"/>
      <c r="E7" s="201"/>
      <c r="F7" s="2"/>
      <c r="G7" s="202">
        <v>208</v>
      </c>
    </row>
    <row r="8" spans="1:7" ht="15.75" thickBot="1" x14ac:dyDescent="0.3">
      <c r="A8" s="193" t="s">
        <v>223</v>
      </c>
      <c r="B8" s="196"/>
      <c r="C8" s="196"/>
      <c r="D8" s="196"/>
      <c r="E8" s="196"/>
      <c r="F8" s="196"/>
      <c r="G8" s="195"/>
    </row>
    <row r="11" spans="1:7" ht="15.75" thickBot="1" x14ac:dyDescent="0.3"/>
    <row r="12" spans="1:7" x14ac:dyDescent="0.25">
      <c r="A12" s="381" t="s">
        <v>226</v>
      </c>
      <c r="B12" s="382"/>
      <c r="C12" s="382"/>
      <c r="D12" s="382"/>
      <c r="E12" s="382"/>
      <c r="F12" s="382"/>
      <c r="G12" s="383"/>
    </row>
    <row r="13" spans="1:7" x14ac:dyDescent="0.25">
      <c r="A13" s="189"/>
      <c r="B13" s="185" t="s">
        <v>21</v>
      </c>
      <c r="C13" s="185" t="s">
        <v>215</v>
      </c>
      <c r="D13" s="185" t="s">
        <v>217</v>
      </c>
      <c r="E13" s="186" t="s">
        <v>219</v>
      </c>
      <c r="F13" s="186" t="s">
        <v>221</v>
      </c>
      <c r="G13" s="190" t="s">
        <v>223</v>
      </c>
    </row>
    <row r="14" spans="1:7" x14ac:dyDescent="0.25">
      <c r="A14" s="191" t="s">
        <v>21</v>
      </c>
      <c r="B14" s="2"/>
      <c r="C14" s="197">
        <v>1818.6</v>
      </c>
      <c r="D14" s="198"/>
      <c r="E14" s="198"/>
      <c r="F14" s="198"/>
      <c r="G14" s="199"/>
    </row>
    <row r="15" spans="1:7" x14ac:dyDescent="0.25">
      <c r="A15" s="192" t="s">
        <v>215</v>
      </c>
      <c r="B15" s="187"/>
      <c r="C15" s="2"/>
      <c r="D15" s="143">
        <v>72</v>
      </c>
      <c r="E15" s="143">
        <v>304</v>
      </c>
      <c r="F15" s="143">
        <v>161</v>
      </c>
      <c r="G15" s="200">
        <v>183</v>
      </c>
    </row>
    <row r="16" spans="1:7" x14ac:dyDescent="0.25">
      <c r="A16" s="192" t="s">
        <v>217</v>
      </c>
      <c r="B16" s="187"/>
      <c r="C16" s="198"/>
      <c r="D16" s="2"/>
      <c r="E16" s="197">
        <v>181</v>
      </c>
      <c r="F16" s="197">
        <v>0</v>
      </c>
      <c r="G16" s="202">
        <v>107</v>
      </c>
    </row>
    <row r="17" spans="1:7" x14ac:dyDescent="0.25">
      <c r="A17" s="191" t="s">
        <v>219</v>
      </c>
      <c r="B17" s="187"/>
      <c r="C17" s="198"/>
      <c r="D17" s="198"/>
      <c r="E17" s="2"/>
      <c r="F17" s="143">
        <v>25</v>
      </c>
      <c r="G17" s="200">
        <v>236</v>
      </c>
    </row>
    <row r="18" spans="1:7" x14ac:dyDescent="0.25">
      <c r="A18" s="191" t="s">
        <v>221</v>
      </c>
      <c r="B18" s="187"/>
      <c r="C18" s="198"/>
      <c r="D18" s="198"/>
      <c r="E18" s="198"/>
      <c r="F18" s="2"/>
      <c r="G18" s="202">
        <v>148</v>
      </c>
    </row>
    <row r="19" spans="1:7" ht="15.75" thickBot="1" x14ac:dyDescent="0.3">
      <c r="A19" s="193" t="s">
        <v>223</v>
      </c>
      <c r="B19" s="194"/>
      <c r="C19" s="203"/>
      <c r="D19" s="203"/>
      <c r="E19" s="203"/>
      <c r="F19" s="203"/>
      <c r="G19" s="195"/>
    </row>
    <row r="23" spans="1:7" ht="15.75" thickBot="1" x14ac:dyDescent="0.3"/>
    <row r="24" spans="1:7" x14ac:dyDescent="0.25">
      <c r="A24" s="381" t="s">
        <v>227</v>
      </c>
      <c r="B24" s="382"/>
      <c r="C24" s="382"/>
      <c r="D24" s="382"/>
      <c r="E24" s="382"/>
      <c r="F24" s="382"/>
      <c r="G24" s="383"/>
    </row>
    <row r="25" spans="1:7" x14ac:dyDescent="0.25">
      <c r="A25" s="189"/>
      <c r="B25" s="185" t="s">
        <v>21</v>
      </c>
      <c r="C25" s="185" t="s">
        <v>215</v>
      </c>
      <c r="D25" s="185" t="s">
        <v>217</v>
      </c>
      <c r="E25" s="186" t="s">
        <v>219</v>
      </c>
      <c r="F25" s="186" t="s">
        <v>221</v>
      </c>
      <c r="G25" s="190" t="s">
        <v>223</v>
      </c>
    </row>
    <row r="26" spans="1:7" x14ac:dyDescent="0.25">
      <c r="A26" s="191" t="s">
        <v>21</v>
      </c>
      <c r="B26" s="2"/>
      <c r="C26" s="197">
        <v>294.39999999999998</v>
      </c>
      <c r="D26" s="198"/>
      <c r="E26" s="198"/>
      <c r="F26" s="198"/>
      <c r="G26" s="199"/>
    </row>
    <row r="27" spans="1:7" x14ac:dyDescent="0.25">
      <c r="A27" s="192" t="s">
        <v>215</v>
      </c>
      <c r="B27" s="187"/>
      <c r="C27" s="2"/>
      <c r="D27" s="143">
        <v>19.5</v>
      </c>
      <c r="E27" s="143">
        <v>18</v>
      </c>
      <c r="F27" s="143">
        <v>20</v>
      </c>
      <c r="G27" s="200">
        <v>8</v>
      </c>
    </row>
    <row r="28" spans="1:7" x14ac:dyDescent="0.25">
      <c r="A28" s="192" t="s">
        <v>217</v>
      </c>
      <c r="B28" s="187"/>
      <c r="C28" s="198"/>
      <c r="D28" s="2"/>
      <c r="E28" s="197">
        <v>87</v>
      </c>
      <c r="F28" s="197">
        <v>138</v>
      </c>
      <c r="G28" s="202">
        <v>136</v>
      </c>
    </row>
    <row r="29" spans="1:7" x14ac:dyDescent="0.25">
      <c r="A29" s="191" t="s">
        <v>219</v>
      </c>
      <c r="B29" s="187"/>
      <c r="C29" s="198"/>
      <c r="D29" s="198"/>
      <c r="E29" s="2"/>
      <c r="F29" s="143">
        <v>106</v>
      </c>
      <c r="G29" s="200">
        <v>35</v>
      </c>
    </row>
    <row r="30" spans="1:7" x14ac:dyDescent="0.25">
      <c r="A30" s="191" t="s">
        <v>221</v>
      </c>
      <c r="B30" s="187"/>
      <c r="C30" s="198"/>
      <c r="D30" s="198"/>
      <c r="E30" s="198"/>
      <c r="F30" s="2"/>
      <c r="G30" s="202">
        <v>60</v>
      </c>
    </row>
    <row r="31" spans="1:7" ht="15.75" thickBot="1" x14ac:dyDescent="0.3">
      <c r="A31" s="193" t="s">
        <v>223</v>
      </c>
      <c r="B31" s="194"/>
      <c r="C31" s="194"/>
      <c r="D31" s="194"/>
      <c r="E31" s="194"/>
      <c r="F31" s="194"/>
      <c r="G31" s="195"/>
    </row>
    <row r="34" spans="1:7" ht="15.75" thickBot="1" x14ac:dyDescent="0.3"/>
    <row r="35" spans="1:7" x14ac:dyDescent="0.25">
      <c r="A35" s="381" t="s">
        <v>150</v>
      </c>
      <c r="B35" s="382"/>
      <c r="C35" s="382"/>
      <c r="D35" s="382"/>
      <c r="E35" s="382"/>
      <c r="F35" s="382"/>
      <c r="G35" s="383"/>
    </row>
    <row r="36" spans="1:7" x14ac:dyDescent="0.25">
      <c r="A36" s="189"/>
      <c r="B36" s="185" t="s">
        <v>21</v>
      </c>
      <c r="C36" s="185" t="s">
        <v>215</v>
      </c>
      <c r="D36" s="185" t="s">
        <v>217</v>
      </c>
      <c r="E36" s="186" t="s">
        <v>219</v>
      </c>
      <c r="F36" s="186" t="s">
        <v>221</v>
      </c>
      <c r="G36" s="190" t="s">
        <v>223</v>
      </c>
    </row>
    <row r="37" spans="1:7" x14ac:dyDescent="0.25">
      <c r="A37" s="191" t="s">
        <v>21</v>
      </c>
      <c r="B37" s="2"/>
      <c r="C37" s="207">
        <v>134.18</v>
      </c>
      <c r="D37" s="204"/>
      <c r="E37" s="204"/>
      <c r="F37" s="204"/>
      <c r="G37" s="205"/>
    </row>
    <row r="38" spans="1:7" x14ac:dyDescent="0.25">
      <c r="A38" s="192" t="s">
        <v>215</v>
      </c>
      <c r="B38" s="187"/>
      <c r="C38" s="47"/>
      <c r="D38" s="156">
        <v>0</v>
      </c>
      <c r="E38" s="156">
        <v>10.47</v>
      </c>
      <c r="F38" s="156">
        <v>0</v>
      </c>
      <c r="G38" s="206">
        <v>17.64</v>
      </c>
    </row>
    <row r="39" spans="1:7" x14ac:dyDescent="0.25">
      <c r="A39" s="192" t="s">
        <v>217</v>
      </c>
      <c r="B39" s="187"/>
      <c r="C39" s="204"/>
      <c r="D39" s="47"/>
      <c r="E39" s="207">
        <v>0</v>
      </c>
      <c r="F39" s="207">
        <v>0</v>
      </c>
      <c r="G39" s="208">
        <v>0</v>
      </c>
    </row>
    <row r="40" spans="1:7" x14ac:dyDescent="0.25">
      <c r="A40" s="191" t="s">
        <v>219</v>
      </c>
      <c r="B40" s="187"/>
      <c r="C40" s="204"/>
      <c r="D40" s="204"/>
      <c r="E40" s="47"/>
      <c r="F40" s="156">
        <v>0</v>
      </c>
      <c r="G40" s="206">
        <v>0</v>
      </c>
    </row>
    <row r="41" spans="1:7" x14ac:dyDescent="0.25">
      <c r="A41" s="191" t="s">
        <v>221</v>
      </c>
      <c r="B41" s="187"/>
      <c r="C41" s="204"/>
      <c r="D41" s="204"/>
      <c r="E41" s="204"/>
      <c r="F41" s="47"/>
      <c r="G41" s="208">
        <v>0</v>
      </c>
    </row>
    <row r="42" spans="1:7" ht="15.75" thickBot="1" x14ac:dyDescent="0.3">
      <c r="A42" s="193" t="s">
        <v>223</v>
      </c>
      <c r="B42" s="194"/>
      <c r="C42" s="194"/>
      <c r="D42" s="194"/>
      <c r="E42" s="194"/>
      <c r="F42" s="194"/>
      <c r="G42" s="195"/>
    </row>
  </sheetData>
  <mergeCells count="4">
    <mergeCell ref="A24:G24"/>
    <mergeCell ref="A35:G35"/>
    <mergeCell ref="A1:G1"/>
    <mergeCell ref="A12:G1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698C-4585-4272-A1D4-7F353D4474E5}">
  <sheetPr codeName="Folha13"/>
  <dimension ref="A1:I85"/>
  <sheetViews>
    <sheetView topLeftCell="A60" workbookViewId="0">
      <selection activeCell="F73" sqref="F73:I85"/>
    </sheetView>
  </sheetViews>
  <sheetFormatPr defaultRowHeight="15" x14ac:dyDescent="0.25"/>
  <cols>
    <col min="2" max="2" width="21.85546875" customWidth="1"/>
    <col min="3" max="3" width="20.5703125" customWidth="1"/>
    <col min="4" max="4" width="21.85546875" bestFit="1" customWidth="1"/>
    <col min="5" max="5" width="16" bestFit="1" customWidth="1"/>
    <col min="6" max="6" width="11.5703125" customWidth="1"/>
    <col min="7" max="7" width="14.42578125" bestFit="1" customWidth="1"/>
    <col min="8" max="8" width="15.140625" customWidth="1"/>
    <col min="9" max="9" width="9.5703125" bestFit="1" customWidth="1"/>
  </cols>
  <sheetData>
    <row r="1" spans="2:6" x14ac:dyDescent="0.25">
      <c r="B1" s="393" t="s">
        <v>228</v>
      </c>
      <c r="C1" s="394"/>
      <c r="D1" s="394"/>
      <c r="E1" s="394"/>
      <c r="F1" s="394"/>
    </row>
    <row r="3" spans="2:6" x14ac:dyDescent="0.25">
      <c r="B3" s="210" t="s">
        <v>114</v>
      </c>
      <c r="C3" s="211" t="s">
        <v>21</v>
      </c>
      <c r="D3" s="228" t="s">
        <v>229</v>
      </c>
      <c r="E3" s="269" t="s">
        <v>116</v>
      </c>
    </row>
    <row r="4" spans="2:6" x14ac:dyDescent="0.25">
      <c r="B4" s="111" t="s">
        <v>118</v>
      </c>
      <c r="C4" s="86">
        <v>0.27430555555555558</v>
      </c>
      <c r="D4" s="264">
        <v>0.3611111111111111</v>
      </c>
      <c r="E4" s="273"/>
    </row>
    <row r="5" spans="2:6" x14ac:dyDescent="0.25">
      <c r="B5" s="68" t="s">
        <v>121</v>
      </c>
      <c r="C5" s="171">
        <v>5.9027777777777776E-2</v>
      </c>
      <c r="D5" s="265">
        <v>5.9027777777777776E-2</v>
      </c>
      <c r="E5" s="270">
        <f>C5+D5</f>
        <v>0.11805555555555555</v>
      </c>
    </row>
    <row r="6" spans="2:6" x14ac:dyDescent="0.25">
      <c r="B6" s="111" t="s">
        <v>133</v>
      </c>
      <c r="C6" s="86">
        <v>0.33333333333333331</v>
      </c>
      <c r="D6" s="264">
        <v>0.4201388888888889</v>
      </c>
      <c r="E6" s="273"/>
    </row>
    <row r="7" spans="2:6" x14ac:dyDescent="0.25">
      <c r="B7" s="68" t="s">
        <v>144</v>
      </c>
      <c r="C7" s="89" t="s">
        <v>145</v>
      </c>
      <c r="D7" s="266" t="s">
        <v>145</v>
      </c>
      <c r="E7" s="273"/>
    </row>
    <row r="8" spans="2:6" x14ac:dyDescent="0.25">
      <c r="B8" s="68" t="s">
        <v>147</v>
      </c>
      <c r="C8" s="87" t="s">
        <v>230</v>
      </c>
      <c r="D8" s="267" t="s">
        <v>231</v>
      </c>
      <c r="E8" s="273"/>
    </row>
    <row r="9" spans="2:6" x14ac:dyDescent="0.25">
      <c r="B9" s="68" t="s">
        <v>149</v>
      </c>
      <c r="C9" s="87">
        <v>88</v>
      </c>
      <c r="D9" s="267">
        <v>88</v>
      </c>
      <c r="E9" s="271">
        <f>C9+D9</f>
        <v>176</v>
      </c>
    </row>
    <row r="10" spans="2:6" x14ac:dyDescent="0.25">
      <c r="B10" s="68" t="s">
        <v>232</v>
      </c>
      <c r="C10" s="128">
        <v>4.05</v>
      </c>
      <c r="D10" s="268">
        <v>4.05</v>
      </c>
      <c r="E10" s="272">
        <f>C10+D10</f>
        <v>8.1</v>
      </c>
    </row>
    <row r="11" spans="2:6" x14ac:dyDescent="0.25">
      <c r="B11" s="69" t="s">
        <v>151</v>
      </c>
      <c r="C11" s="72" t="s">
        <v>229</v>
      </c>
      <c r="D11" s="88" t="s">
        <v>21</v>
      </c>
      <c r="E11" s="274"/>
    </row>
    <row r="13" spans="2:6" x14ac:dyDescent="0.25">
      <c r="B13" s="238"/>
      <c r="C13" s="240" t="s">
        <v>233</v>
      </c>
      <c r="D13" s="240" t="s">
        <v>234</v>
      </c>
      <c r="E13" s="240" t="s">
        <v>235</v>
      </c>
      <c r="F13" s="240" t="s">
        <v>100</v>
      </c>
    </row>
    <row r="14" spans="2:6" ht="15.75" thickBot="1" x14ac:dyDescent="0.3">
      <c r="B14" s="239" t="s">
        <v>236</v>
      </c>
      <c r="C14" s="66" t="s">
        <v>237</v>
      </c>
      <c r="D14" s="66" t="s">
        <v>238</v>
      </c>
      <c r="E14" s="66">
        <v>4.05</v>
      </c>
      <c r="F14" s="66" t="s">
        <v>239</v>
      </c>
    </row>
    <row r="15" spans="2:6" ht="15.75" thickBot="1" x14ac:dyDescent="0.3"/>
    <row r="16" spans="2:6" ht="15" customHeight="1" x14ac:dyDescent="0.25">
      <c r="B16" s="355" t="s">
        <v>195</v>
      </c>
      <c r="C16" s="356"/>
      <c r="D16" s="356" t="s">
        <v>16</v>
      </c>
      <c r="E16" s="357"/>
    </row>
    <row r="17" spans="2:6" x14ac:dyDescent="0.25">
      <c r="B17" s="68" t="s">
        <v>207</v>
      </c>
      <c r="C17" s="70" t="s">
        <v>198</v>
      </c>
      <c r="D17" s="70" t="s">
        <v>208</v>
      </c>
      <c r="E17" s="71" t="s">
        <v>200</v>
      </c>
      <c r="F17" s="213"/>
    </row>
    <row r="18" spans="2:6" x14ac:dyDescent="0.25">
      <c r="B18" s="224">
        <v>30150</v>
      </c>
      <c r="C18" s="66">
        <v>1</v>
      </c>
      <c r="D18" s="127">
        <v>1.21</v>
      </c>
      <c r="E18" s="67">
        <v>176</v>
      </c>
      <c r="F18" s="241"/>
    </row>
    <row r="19" spans="2:6" x14ac:dyDescent="0.25">
      <c r="B19" s="68" t="s">
        <v>201</v>
      </c>
      <c r="C19" s="70" t="s">
        <v>202</v>
      </c>
      <c r="D19" s="70" t="s">
        <v>150</v>
      </c>
      <c r="E19" s="71" t="s">
        <v>203</v>
      </c>
      <c r="F19" s="223"/>
    </row>
    <row r="20" spans="2:6" x14ac:dyDescent="0.25">
      <c r="B20" s="224">
        <v>27000</v>
      </c>
      <c r="C20" s="66">
        <v>1</v>
      </c>
      <c r="D20" s="127">
        <f>4.05*2</f>
        <v>8.1</v>
      </c>
      <c r="E20" s="67">
        <v>305</v>
      </c>
      <c r="F20" s="234"/>
    </row>
    <row r="21" spans="2:6" x14ac:dyDescent="0.25">
      <c r="B21" s="68" t="s">
        <v>204</v>
      </c>
      <c r="C21" s="127">
        <f>B18*C18+B20*C20</f>
        <v>57150</v>
      </c>
      <c r="D21" s="70" t="s">
        <v>205</v>
      </c>
      <c r="E21" s="129">
        <f>D18*E18*E20+D20*E20</f>
        <v>67423.299999999988</v>
      </c>
      <c r="F21" s="234"/>
    </row>
    <row r="22" spans="2:6" x14ac:dyDescent="0.25">
      <c r="B22" s="361" t="s">
        <v>240</v>
      </c>
      <c r="C22" s="362"/>
      <c r="D22" s="362"/>
      <c r="E22" s="377"/>
      <c r="F22" s="235"/>
    </row>
    <row r="23" spans="2:6" x14ac:dyDescent="0.25">
      <c r="B23" s="387">
        <f>C21+E21</f>
        <v>124573.29999999999</v>
      </c>
      <c r="C23" s="388"/>
      <c r="D23" s="388"/>
      <c r="E23" s="389"/>
      <c r="F23" s="235"/>
    </row>
    <row r="24" spans="2:6" ht="15" customHeight="1" x14ac:dyDescent="0.25">
      <c r="B24" s="390" t="s">
        <v>241</v>
      </c>
      <c r="C24" s="391"/>
      <c r="D24" s="391"/>
      <c r="E24" s="392"/>
      <c r="F24" s="236"/>
    </row>
    <row r="25" spans="2:6" ht="15.75" thickBot="1" x14ac:dyDescent="0.3">
      <c r="B25" s="384">
        <f>(B23/E20)*2</f>
        <v>816.87409836065569</v>
      </c>
      <c r="C25" s="385"/>
      <c r="D25" s="385"/>
      <c r="E25" s="386"/>
      <c r="F25" s="143"/>
    </row>
    <row r="26" spans="2:6" x14ac:dyDescent="0.25">
      <c r="B26" s="390" t="s">
        <v>242</v>
      </c>
      <c r="C26" s="391"/>
      <c r="D26" s="391"/>
      <c r="E26" s="392"/>
      <c r="F26" s="143"/>
    </row>
    <row r="27" spans="2:6" x14ac:dyDescent="0.25">
      <c r="B27" s="408">
        <v>4000</v>
      </c>
      <c r="C27" s="409"/>
      <c r="D27" s="409"/>
      <c r="E27" s="410"/>
      <c r="F27" s="143"/>
    </row>
    <row r="28" spans="2:6" x14ac:dyDescent="0.25">
      <c r="B28" s="390" t="s">
        <v>243</v>
      </c>
      <c r="C28" s="391"/>
      <c r="D28" s="391"/>
      <c r="E28" s="392"/>
      <c r="F28" s="143"/>
    </row>
    <row r="29" spans="2:6" ht="15.75" thickBot="1" x14ac:dyDescent="0.3">
      <c r="B29" s="405">
        <f>SUM(B25+B27)</f>
        <v>4816.8740983606558</v>
      </c>
      <c r="C29" s="406"/>
      <c r="D29" s="406"/>
      <c r="E29" s="407"/>
      <c r="F29" s="143"/>
    </row>
    <row r="30" spans="2:6" s="209" customFormat="1" ht="15.75" thickBot="1" x14ac:dyDescent="0.3">
      <c r="B30" s="237"/>
      <c r="C30" s="237"/>
      <c r="D30" s="237"/>
      <c r="E30" s="237"/>
    </row>
    <row r="32" spans="2:6" x14ac:dyDescent="0.25">
      <c r="B32" s="393" t="s">
        <v>244</v>
      </c>
      <c r="C32" s="394"/>
      <c r="D32" s="394"/>
      <c r="E32" s="394"/>
      <c r="F32" s="394"/>
    </row>
    <row r="34" spans="1:9" x14ac:dyDescent="0.25">
      <c r="B34" s="295" t="s">
        <v>114</v>
      </c>
      <c r="C34" s="296" t="s">
        <v>115</v>
      </c>
      <c r="D34" s="297" t="s">
        <v>245</v>
      </c>
      <c r="E34" s="298" t="s">
        <v>116</v>
      </c>
      <c r="F34" s="213"/>
      <c r="G34" s="213"/>
      <c r="H34" s="213"/>
    </row>
    <row r="35" spans="1:9" x14ac:dyDescent="0.25">
      <c r="B35" s="299" t="s">
        <v>118</v>
      </c>
      <c r="C35" s="287">
        <v>0.16666666666666666</v>
      </c>
      <c r="D35" s="311">
        <v>0.50902777777777775</v>
      </c>
      <c r="E35" s="289" t="s">
        <v>246</v>
      </c>
      <c r="F35" s="230"/>
      <c r="G35" s="230"/>
      <c r="H35" s="230"/>
    </row>
    <row r="36" spans="1:9" x14ac:dyDescent="0.25">
      <c r="B36" s="299" t="s">
        <v>121</v>
      </c>
      <c r="C36" s="287">
        <v>0.31458333333333333</v>
      </c>
      <c r="D36" s="311">
        <v>0.31458333333333333</v>
      </c>
      <c r="E36" s="310">
        <v>0.62916666666666665</v>
      </c>
      <c r="F36" s="231"/>
      <c r="G36" s="231"/>
      <c r="H36" s="231"/>
    </row>
    <row r="37" spans="1:9" x14ac:dyDescent="0.25">
      <c r="B37" s="299" t="s">
        <v>133</v>
      </c>
      <c r="C37" s="287">
        <v>0.48125000000000001</v>
      </c>
      <c r="D37" s="311">
        <v>0.82361111111111107</v>
      </c>
      <c r="E37" s="289" t="s">
        <v>246</v>
      </c>
      <c r="F37" s="230"/>
      <c r="G37" s="230"/>
      <c r="H37" s="230"/>
    </row>
    <row r="38" spans="1:9" x14ac:dyDescent="0.25">
      <c r="B38" s="299" t="s">
        <v>144</v>
      </c>
      <c r="C38" s="290" t="s">
        <v>145</v>
      </c>
      <c r="D38" s="288" t="s">
        <v>146</v>
      </c>
      <c r="E38" s="289" t="s">
        <v>246</v>
      </c>
      <c r="F38" s="222"/>
      <c r="G38" s="222"/>
      <c r="H38" s="222"/>
    </row>
    <row r="39" spans="1:9" x14ac:dyDescent="0.25">
      <c r="B39" s="299" t="s">
        <v>147</v>
      </c>
      <c r="C39" s="290" t="s">
        <v>230</v>
      </c>
      <c r="D39" s="288" t="s">
        <v>231</v>
      </c>
      <c r="E39" s="289" t="s">
        <v>246</v>
      </c>
      <c r="F39" s="232"/>
      <c r="G39" s="232"/>
      <c r="H39" s="232"/>
    </row>
    <row r="40" spans="1:9" x14ac:dyDescent="0.25">
      <c r="B40" s="299" t="s">
        <v>149</v>
      </c>
      <c r="C40" s="290" t="s">
        <v>247</v>
      </c>
      <c r="D40" s="288" t="s">
        <v>247</v>
      </c>
      <c r="E40" s="291">
        <v>1090</v>
      </c>
      <c r="F40" s="232"/>
      <c r="G40" s="232"/>
      <c r="H40" s="232"/>
    </row>
    <row r="41" spans="1:9" x14ac:dyDescent="0.25">
      <c r="B41" s="299" t="s">
        <v>232</v>
      </c>
      <c r="C41" s="292">
        <v>39</v>
      </c>
      <c r="D41" s="293">
        <v>39</v>
      </c>
      <c r="E41" s="294">
        <v>78</v>
      </c>
      <c r="F41" s="233"/>
      <c r="G41" s="233"/>
      <c r="H41" s="233"/>
    </row>
    <row r="42" spans="1:9" x14ac:dyDescent="0.25">
      <c r="B42" s="300" t="s">
        <v>151</v>
      </c>
      <c r="C42" s="301" t="s">
        <v>245</v>
      </c>
      <c r="D42" s="302" t="s">
        <v>21</v>
      </c>
      <c r="E42" s="303" t="s">
        <v>246</v>
      </c>
      <c r="F42" s="213"/>
      <c r="G42" s="213"/>
      <c r="H42" s="213"/>
    </row>
    <row r="43" spans="1:9" s="223" customFormat="1" x14ac:dyDescent="0.25">
      <c r="B43" s="227"/>
      <c r="C43" s="229"/>
      <c r="D43" s="229"/>
      <c r="E43" s="229"/>
      <c r="F43" s="229"/>
      <c r="G43" s="213"/>
      <c r="H43" s="213"/>
    </row>
    <row r="44" spans="1:9" x14ac:dyDescent="0.25">
      <c r="A44" s="223"/>
      <c r="B44" s="223"/>
      <c r="C44" s="223"/>
      <c r="D44" s="223"/>
      <c r="E44" s="223"/>
      <c r="F44" s="223"/>
      <c r="G44" s="223"/>
    </row>
    <row r="46" spans="1:9" x14ac:dyDescent="0.25">
      <c r="A46" s="304"/>
      <c r="B46" s="395" t="s">
        <v>195</v>
      </c>
      <c r="C46" s="396"/>
      <c r="D46" s="397" t="s">
        <v>16</v>
      </c>
      <c r="E46" s="396"/>
      <c r="F46" s="304"/>
      <c r="G46" s="304"/>
      <c r="H46" s="304"/>
      <c r="I46" s="304"/>
    </row>
    <row r="47" spans="1:9" x14ac:dyDescent="0.25">
      <c r="A47" s="304"/>
      <c r="B47" s="305" t="s">
        <v>207</v>
      </c>
      <c r="C47" s="306" t="s">
        <v>198</v>
      </c>
      <c r="D47" s="306" t="s">
        <v>208</v>
      </c>
      <c r="E47" s="306" t="s">
        <v>200</v>
      </c>
      <c r="F47" s="304"/>
      <c r="G47" s="304"/>
      <c r="H47" s="304"/>
      <c r="I47" s="304"/>
    </row>
    <row r="48" spans="1:9" x14ac:dyDescent="0.25">
      <c r="A48" s="304"/>
      <c r="B48" s="307" t="s">
        <v>248</v>
      </c>
      <c r="C48" s="308">
        <v>1</v>
      </c>
      <c r="D48" s="309">
        <v>1.21</v>
      </c>
      <c r="E48" s="308">
        <v>1090</v>
      </c>
      <c r="F48" s="304"/>
      <c r="G48" s="304"/>
      <c r="H48" s="304"/>
      <c r="I48" s="304"/>
    </row>
    <row r="49" spans="1:9" x14ac:dyDescent="0.25">
      <c r="A49" s="304"/>
      <c r="B49" s="305" t="s">
        <v>201</v>
      </c>
      <c r="C49" s="306" t="s">
        <v>202</v>
      </c>
      <c r="D49" s="306" t="s">
        <v>150</v>
      </c>
      <c r="E49" s="306" t="s">
        <v>203</v>
      </c>
      <c r="F49" s="304"/>
      <c r="G49" s="304"/>
      <c r="H49" s="304"/>
      <c r="I49" s="304"/>
    </row>
    <row r="50" spans="1:9" ht="15" customHeight="1" x14ac:dyDescent="0.25">
      <c r="A50" s="304"/>
      <c r="B50" s="307" t="s">
        <v>249</v>
      </c>
      <c r="C50" s="308">
        <v>2</v>
      </c>
      <c r="D50" s="309">
        <v>78</v>
      </c>
      <c r="E50" s="308">
        <v>305</v>
      </c>
      <c r="F50" s="304"/>
      <c r="G50" s="304"/>
      <c r="H50" s="304"/>
      <c r="I50" s="304"/>
    </row>
    <row r="51" spans="1:9" x14ac:dyDescent="0.25">
      <c r="A51" s="304"/>
      <c r="B51" s="305" t="s">
        <v>204</v>
      </c>
      <c r="C51" s="308" t="s">
        <v>250</v>
      </c>
      <c r="D51" s="306" t="s">
        <v>205</v>
      </c>
      <c r="E51" s="308" t="s">
        <v>251</v>
      </c>
      <c r="F51" s="304"/>
      <c r="G51" s="304"/>
      <c r="H51" s="304"/>
      <c r="I51" s="304"/>
    </row>
    <row r="52" spans="1:9" x14ac:dyDescent="0.25">
      <c r="A52" s="304"/>
      <c r="B52" s="395" t="s">
        <v>240</v>
      </c>
      <c r="C52" s="397"/>
      <c r="D52" s="397"/>
      <c r="E52" s="396"/>
      <c r="F52" s="304"/>
      <c r="G52" s="304"/>
      <c r="H52" s="304"/>
      <c r="I52" s="304"/>
    </row>
    <row r="53" spans="1:9" x14ac:dyDescent="0.25">
      <c r="A53" s="304"/>
      <c r="B53" s="398">
        <f>SUM(C51+E51)</f>
        <v>437565.7</v>
      </c>
      <c r="C53" s="399"/>
      <c r="D53" s="399"/>
      <c r="E53" s="400"/>
      <c r="F53" s="304"/>
      <c r="G53" s="304"/>
      <c r="H53" s="304"/>
      <c r="I53" s="304"/>
    </row>
    <row r="54" spans="1:9" x14ac:dyDescent="0.25">
      <c r="A54" s="304"/>
      <c r="B54" s="395" t="s">
        <v>252</v>
      </c>
      <c r="C54" s="397"/>
      <c r="D54" s="397"/>
      <c r="E54" s="396"/>
      <c r="F54" s="304"/>
      <c r="G54" s="304"/>
      <c r="H54" s="304"/>
      <c r="I54" s="304"/>
    </row>
    <row r="55" spans="1:9" x14ac:dyDescent="0.25">
      <c r="A55" s="304"/>
      <c r="B55" s="398">
        <f>(B53/E50)*2</f>
        <v>2869.2832786885247</v>
      </c>
      <c r="C55" s="401"/>
      <c r="D55" s="401"/>
      <c r="E55" s="402"/>
      <c r="F55" s="304"/>
      <c r="G55" s="304"/>
      <c r="H55" s="304"/>
      <c r="I55" s="304"/>
    </row>
    <row r="56" spans="1:9" x14ac:dyDescent="0.25">
      <c r="A56" s="304"/>
      <c r="B56" s="395" t="s">
        <v>253</v>
      </c>
      <c r="C56" s="397"/>
      <c r="D56" s="397"/>
      <c r="E56" s="396"/>
      <c r="F56" s="304"/>
      <c r="G56" s="304"/>
      <c r="H56" s="304"/>
      <c r="I56" s="304"/>
    </row>
    <row r="57" spans="1:9" x14ac:dyDescent="0.25">
      <c r="A57" s="304"/>
      <c r="B57" s="403" t="s">
        <v>254</v>
      </c>
      <c r="C57" s="401"/>
      <c r="D57" s="401"/>
      <c r="E57" s="402"/>
      <c r="F57" s="304"/>
      <c r="G57" s="304"/>
      <c r="H57" s="304"/>
      <c r="I57" s="304"/>
    </row>
    <row r="58" spans="1:9" x14ac:dyDescent="0.25">
      <c r="A58" s="304"/>
      <c r="B58" s="395" t="s">
        <v>243</v>
      </c>
      <c r="C58" s="397"/>
      <c r="D58" s="397"/>
      <c r="E58" s="396"/>
      <c r="F58" s="304"/>
      <c r="G58" s="304"/>
      <c r="H58" s="304"/>
      <c r="I58" s="304"/>
    </row>
    <row r="59" spans="1:9" x14ac:dyDescent="0.25">
      <c r="A59" s="304"/>
      <c r="B59" s="404">
        <f>SUM(B55+B57)</f>
        <v>6269.2832786885247</v>
      </c>
      <c r="C59" s="401"/>
      <c r="D59" s="401"/>
      <c r="E59" s="402"/>
      <c r="F59" s="304"/>
      <c r="G59" s="304"/>
      <c r="H59" s="304"/>
      <c r="I59" s="304"/>
    </row>
    <row r="61" spans="1:9" x14ac:dyDescent="0.25">
      <c r="B61" s="393" t="s">
        <v>255</v>
      </c>
      <c r="C61" s="393"/>
      <c r="D61" s="393"/>
      <c r="E61" s="393"/>
      <c r="F61" s="393"/>
      <c r="G61" s="393"/>
      <c r="H61" s="393"/>
    </row>
    <row r="62" spans="1:9" x14ac:dyDescent="0.25">
      <c r="A62" s="223"/>
      <c r="B62" s="223"/>
      <c r="C62" s="223"/>
      <c r="D62" s="223"/>
      <c r="E62" s="223"/>
      <c r="F62" s="223"/>
      <c r="G62" s="223"/>
      <c r="H62" s="223"/>
      <c r="I62" s="223"/>
    </row>
    <row r="63" spans="1:9" x14ac:dyDescent="0.25">
      <c r="A63" s="223"/>
      <c r="B63" s="210" t="s">
        <v>114</v>
      </c>
      <c r="C63" s="211" t="s">
        <v>115</v>
      </c>
      <c r="D63" s="211" t="s">
        <v>256</v>
      </c>
      <c r="E63" s="211" t="s">
        <v>257</v>
      </c>
      <c r="F63" s="211" t="s">
        <v>215</v>
      </c>
      <c r="G63" s="211" t="s">
        <v>257</v>
      </c>
      <c r="H63" s="228" t="s">
        <v>258</v>
      </c>
      <c r="I63" s="269" t="s">
        <v>116</v>
      </c>
    </row>
    <row r="64" spans="1:9" x14ac:dyDescent="0.25">
      <c r="A64" s="223"/>
      <c r="B64" s="111" t="s">
        <v>118</v>
      </c>
      <c r="C64" s="75">
        <v>0.16666666666666666</v>
      </c>
      <c r="D64" s="75">
        <v>0.48333333333333334</v>
      </c>
      <c r="E64" s="75">
        <v>0.82638888888888884</v>
      </c>
      <c r="F64" s="75">
        <v>0.16666666666666666</v>
      </c>
      <c r="G64" s="75">
        <v>0.4826388888888889</v>
      </c>
      <c r="H64" s="86">
        <v>0.82638888888888884</v>
      </c>
      <c r="I64" s="276"/>
    </row>
    <row r="65" spans="1:9" x14ac:dyDescent="0.25">
      <c r="A65" s="223"/>
      <c r="B65" s="68" t="s">
        <v>121</v>
      </c>
      <c r="C65" s="170">
        <v>0.31666666666666665</v>
      </c>
      <c r="D65" s="170">
        <v>0.33819444444444446</v>
      </c>
      <c r="E65" s="170">
        <v>0.31041666666666667</v>
      </c>
      <c r="F65" s="170">
        <v>0.31041666666666667</v>
      </c>
      <c r="G65" s="170">
        <v>0.33819444444444446</v>
      </c>
      <c r="H65" s="171">
        <v>0.31666666666666665</v>
      </c>
      <c r="I65" s="277">
        <f>C65+D65+E65+F65+G65+H65</f>
        <v>1.9305555555555556</v>
      </c>
    </row>
    <row r="66" spans="1:9" x14ac:dyDescent="0.25">
      <c r="A66" s="223"/>
      <c r="B66" s="111" t="s">
        <v>133</v>
      </c>
      <c r="C66" s="75">
        <f t="shared" ref="C66:H66" si="0">C64+C65</f>
        <v>0.48333333333333328</v>
      </c>
      <c r="D66" s="75">
        <f t="shared" si="0"/>
        <v>0.82152777777777786</v>
      </c>
      <c r="E66" s="75">
        <f t="shared" si="0"/>
        <v>1.1368055555555556</v>
      </c>
      <c r="F66" s="75">
        <f t="shared" si="0"/>
        <v>0.4770833333333333</v>
      </c>
      <c r="G66" s="75">
        <f t="shared" si="0"/>
        <v>0.8208333333333333</v>
      </c>
      <c r="H66" s="86">
        <f t="shared" si="0"/>
        <v>1.1430555555555555</v>
      </c>
      <c r="I66" s="276"/>
    </row>
    <row r="67" spans="1:9" x14ac:dyDescent="0.25">
      <c r="A67" s="223"/>
      <c r="B67" s="68" t="s">
        <v>144</v>
      </c>
      <c r="C67" s="66" t="s">
        <v>145</v>
      </c>
      <c r="D67" s="66" t="s">
        <v>146</v>
      </c>
      <c r="E67" s="66" t="s">
        <v>175</v>
      </c>
      <c r="F67" s="66" t="s">
        <v>145</v>
      </c>
      <c r="G67" s="66" t="s">
        <v>146</v>
      </c>
      <c r="H67" s="89" t="s">
        <v>175</v>
      </c>
      <c r="I67" s="276"/>
    </row>
    <row r="68" spans="1:9" x14ac:dyDescent="0.25">
      <c r="A68" s="223"/>
      <c r="B68" s="68" t="s">
        <v>147</v>
      </c>
      <c r="C68" s="73">
        <v>20</v>
      </c>
      <c r="D68" s="73">
        <v>20</v>
      </c>
      <c r="E68" s="73">
        <v>20</v>
      </c>
      <c r="F68" s="73">
        <v>0</v>
      </c>
      <c r="G68" s="73">
        <v>0</v>
      </c>
      <c r="H68" s="87">
        <v>0</v>
      </c>
      <c r="I68" s="275"/>
    </row>
    <row r="69" spans="1:9" x14ac:dyDescent="0.25">
      <c r="A69" s="223"/>
      <c r="B69" s="68" t="s">
        <v>149</v>
      </c>
      <c r="C69" s="73">
        <v>753</v>
      </c>
      <c r="D69" s="73">
        <v>779</v>
      </c>
      <c r="E69" s="73">
        <v>581</v>
      </c>
      <c r="F69" s="73">
        <v>581</v>
      </c>
      <c r="G69" s="73">
        <v>779</v>
      </c>
      <c r="H69" s="87">
        <v>753</v>
      </c>
      <c r="I69" s="278">
        <f>C69+D69+E69+F69+G69+H69</f>
        <v>4226</v>
      </c>
    </row>
    <row r="70" spans="1:9" x14ac:dyDescent="0.25">
      <c r="A70" s="223"/>
      <c r="B70" s="68" t="s">
        <v>232</v>
      </c>
      <c r="C70" s="127">
        <v>11.7</v>
      </c>
      <c r="D70" s="127">
        <v>73.08</v>
      </c>
      <c r="E70" s="127">
        <v>64.13</v>
      </c>
      <c r="F70" s="127">
        <v>64.13</v>
      </c>
      <c r="G70" s="127">
        <v>73.08</v>
      </c>
      <c r="H70" s="128">
        <v>11.7</v>
      </c>
      <c r="I70" s="279">
        <f>C70+D70+E70+F70+G70+H70</f>
        <v>297.82</v>
      </c>
    </row>
    <row r="71" spans="1:9" x14ac:dyDescent="0.25">
      <c r="A71" s="223"/>
      <c r="B71" s="69" t="s">
        <v>151</v>
      </c>
      <c r="C71" s="72" t="s">
        <v>256</v>
      </c>
      <c r="D71" s="72" t="s">
        <v>257</v>
      </c>
      <c r="E71" s="72" t="s">
        <v>215</v>
      </c>
      <c r="F71" s="72" t="s">
        <v>257</v>
      </c>
      <c r="G71" s="72" t="s">
        <v>258</v>
      </c>
      <c r="H71" s="88" t="s">
        <v>152</v>
      </c>
      <c r="I71" s="274"/>
    </row>
    <row r="72" spans="1:9" x14ac:dyDescent="0.25">
      <c r="A72" s="223"/>
      <c r="B72" s="223"/>
      <c r="C72" s="223"/>
      <c r="D72" s="223"/>
      <c r="E72" s="223"/>
      <c r="F72" s="223"/>
      <c r="G72" s="223"/>
      <c r="H72" s="223"/>
      <c r="I72" s="223"/>
    </row>
    <row r="73" spans="1:9" ht="15.75" thickBot="1" x14ac:dyDescent="0.3">
      <c r="A73" s="223"/>
      <c r="B73" s="223"/>
      <c r="C73" s="223"/>
      <c r="D73" s="223"/>
      <c r="E73" s="223"/>
      <c r="F73" s="223"/>
      <c r="G73" s="223"/>
      <c r="H73" s="223"/>
      <c r="I73" s="223"/>
    </row>
    <row r="74" spans="1:9" x14ac:dyDescent="0.25">
      <c r="A74" s="223"/>
      <c r="B74" s="355" t="s">
        <v>195</v>
      </c>
      <c r="C74" s="356"/>
      <c r="D74" s="356" t="s">
        <v>16</v>
      </c>
      <c r="E74" s="357"/>
      <c r="F74" s="223"/>
      <c r="G74" s="223"/>
      <c r="H74" s="223"/>
      <c r="I74" s="223"/>
    </row>
    <row r="75" spans="1:9" x14ac:dyDescent="0.25">
      <c r="A75" s="223"/>
      <c r="B75" s="68" t="s">
        <v>207</v>
      </c>
      <c r="C75" s="70" t="s">
        <v>198</v>
      </c>
      <c r="D75" s="70" t="s">
        <v>208</v>
      </c>
      <c r="E75" s="71" t="s">
        <v>200</v>
      </c>
      <c r="F75" s="223"/>
      <c r="G75" s="223"/>
      <c r="H75" s="223"/>
      <c r="I75" s="223"/>
    </row>
    <row r="76" spans="1:9" x14ac:dyDescent="0.25">
      <c r="A76" s="223"/>
      <c r="B76" s="224">
        <v>30150</v>
      </c>
      <c r="C76" s="66">
        <v>1</v>
      </c>
      <c r="D76" s="127">
        <v>1.21</v>
      </c>
      <c r="E76" s="67">
        <v>2113</v>
      </c>
      <c r="F76" s="223"/>
      <c r="G76" s="223"/>
      <c r="H76" s="223"/>
      <c r="I76" s="223"/>
    </row>
    <row r="77" spans="1:9" x14ac:dyDescent="0.25">
      <c r="A77" s="223"/>
      <c r="B77" s="68" t="s">
        <v>201</v>
      </c>
      <c r="C77" s="70" t="s">
        <v>202</v>
      </c>
      <c r="D77" s="70" t="s">
        <v>150</v>
      </c>
      <c r="E77" s="71" t="s">
        <v>203</v>
      </c>
      <c r="F77" s="223"/>
      <c r="G77" s="223"/>
      <c r="H77" s="223"/>
      <c r="I77" s="223"/>
    </row>
    <row r="78" spans="1:9" x14ac:dyDescent="0.25">
      <c r="A78" s="223"/>
      <c r="B78" s="224">
        <v>27000</v>
      </c>
      <c r="C78" s="66">
        <v>3</v>
      </c>
      <c r="D78" s="127">
        <v>148.91</v>
      </c>
      <c r="E78" s="67">
        <v>305</v>
      </c>
      <c r="F78" s="223"/>
      <c r="G78" s="223"/>
      <c r="H78" s="223"/>
      <c r="I78" s="223"/>
    </row>
    <row r="79" spans="1:9" x14ac:dyDescent="0.25">
      <c r="A79" s="223"/>
      <c r="B79" s="68" t="s">
        <v>204</v>
      </c>
      <c r="C79" s="127">
        <f>B76*C76+B78*C78</f>
        <v>111150</v>
      </c>
      <c r="D79" s="70" t="s">
        <v>205</v>
      </c>
      <c r="E79" s="129">
        <f>D76*E76*E78+D78*E78</f>
        <v>825220.20000000007</v>
      </c>
      <c r="F79" s="223"/>
      <c r="G79" s="223"/>
      <c r="H79" s="223"/>
      <c r="I79" s="223"/>
    </row>
    <row r="80" spans="1:9" x14ac:dyDescent="0.25">
      <c r="A80" s="223"/>
      <c r="B80" s="361" t="s">
        <v>240</v>
      </c>
      <c r="C80" s="362"/>
      <c r="D80" s="362"/>
      <c r="E80" s="377"/>
      <c r="F80" s="223"/>
      <c r="G80" s="223"/>
      <c r="H80" s="223"/>
      <c r="I80" s="223"/>
    </row>
    <row r="81" spans="1:9" x14ac:dyDescent="0.25">
      <c r="A81" s="223"/>
      <c r="B81" s="387">
        <f>C79+E79</f>
        <v>936370.20000000007</v>
      </c>
      <c r="C81" s="388"/>
      <c r="D81" s="388"/>
      <c r="E81" s="389"/>
      <c r="F81" s="223"/>
      <c r="G81" s="223"/>
      <c r="H81" s="223"/>
      <c r="I81" s="223"/>
    </row>
    <row r="82" spans="1:9" x14ac:dyDescent="0.25">
      <c r="A82" s="223"/>
      <c r="B82" s="390" t="s">
        <v>259</v>
      </c>
      <c r="C82" s="391"/>
      <c r="D82" s="391"/>
      <c r="E82" s="392"/>
      <c r="F82" s="223"/>
      <c r="G82" s="223"/>
      <c r="H82" s="223"/>
      <c r="I82" s="223"/>
    </row>
    <row r="83" spans="1:9" ht="15.75" thickBot="1" x14ac:dyDescent="0.3">
      <c r="A83" s="223"/>
      <c r="B83" s="384">
        <f>(B81/E78)*2</f>
        <v>6140.132459016394</v>
      </c>
      <c r="C83" s="385"/>
      <c r="D83" s="385"/>
      <c r="E83" s="386"/>
      <c r="F83" s="223"/>
      <c r="G83" s="223"/>
      <c r="H83" s="223"/>
      <c r="I83" s="223"/>
    </row>
    <row r="84" spans="1:9" x14ac:dyDescent="0.25">
      <c r="A84" s="223"/>
      <c r="B84" s="223"/>
      <c r="C84" s="223"/>
      <c r="D84" s="223"/>
      <c r="E84" s="223"/>
      <c r="F84" s="223"/>
      <c r="G84" s="223"/>
      <c r="H84" s="223"/>
      <c r="I84" s="223"/>
    </row>
    <row r="85" spans="1:9" x14ac:dyDescent="0.25">
      <c r="F85" s="223"/>
      <c r="G85" s="223"/>
      <c r="H85" s="223"/>
      <c r="I85" s="223"/>
    </row>
  </sheetData>
  <mergeCells count="29">
    <mergeCell ref="B29:E29"/>
    <mergeCell ref="B24:E24"/>
    <mergeCell ref="B25:E25"/>
    <mergeCell ref="B26:E26"/>
    <mergeCell ref="B27:E27"/>
    <mergeCell ref="B28:E28"/>
    <mergeCell ref="B61:H61"/>
    <mergeCell ref="B32:F32"/>
    <mergeCell ref="B46:C46"/>
    <mergeCell ref="D46:E46"/>
    <mergeCell ref="B52:E52"/>
    <mergeCell ref="B53:E53"/>
    <mergeCell ref="B54:E54"/>
    <mergeCell ref="B55:E55"/>
    <mergeCell ref="B56:E56"/>
    <mergeCell ref="B57:E57"/>
    <mergeCell ref="B58:E58"/>
    <mergeCell ref="B59:E59"/>
    <mergeCell ref="B16:C16"/>
    <mergeCell ref="B1:F1"/>
    <mergeCell ref="D16:E16"/>
    <mergeCell ref="B22:E22"/>
    <mergeCell ref="B23:E23"/>
    <mergeCell ref="B83:E83"/>
    <mergeCell ref="B74:C74"/>
    <mergeCell ref="D74:E74"/>
    <mergeCell ref="B80:E80"/>
    <mergeCell ref="B81:E81"/>
    <mergeCell ref="B82:E8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CD30C886AB3A4897509C57FBFB5AAA" ma:contentTypeVersion="11" ma:contentTypeDescription="Create a new document." ma:contentTypeScope="" ma:versionID="4ea5484b8586d67cb6304d8a8b4bfdd4">
  <xsd:schema xmlns:xsd="http://www.w3.org/2001/XMLSchema" xmlns:xs="http://www.w3.org/2001/XMLSchema" xmlns:p="http://schemas.microsoft.com/office/2006/metadata/properties" xmlns:ns2="18ce66b6-c909-48d8-8eba-50d5218fe3c3" xmlns:ns3="9e19fedf-3314-46e8-a5ae-d1c1377fd356" targetNamespace="http://schemas.microsoft.com/office/2006/metadata/properties" ma:root="true" ma:fieldsID="ebd74fa66cb374a2637852a31a2d97b5" ns2:_="" ns3:_="">
    <xsd:import namespace="18ce66b6-c909-48d8-8eba-50d5218fe3c3"/>
    <xsd:import namespace="9e19fedf-3314-46e8-a5ae-d1c1377fd3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ce66b6-c909-48d8-8eba-50d5218fe3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bd39c20-4416-4a86-a41d-df69d8f2de9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19fedf-3314-46e8-a5ae-d1c1377fd3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cd71326-adfa-4c47-940f-b0d7d8f2fe49}" ma:internalName="TaxCatchAll" ma:showField="CatchAllData" ma:web="9e19fedf-3314-46e8-a5ae-d1c1377fd3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8ce66b6-c909-48d8-8eba-50d5218fe3c3">
      <Terms xmlns="http://schemas.microsoft.com/office/infopath/2007/PartnerControls"/>
    </lcf76f155ced4ddcb4097134ff3c332f>
    <TaxCatchAll xmlns="9e19fedf-3314-46e8-a5ae-d1c1377fd356" xsi:nil="true"/>
  </documentManagement>
</p:properties>
</file>

<file path=customXml/itemProps1.xml><?xml version="1.0" encoding="utf-8"?>
<ds:datastoreItem xmlns:ds="http://schemas.openxmlformats.org/officeDocument/2006/customXml" ds:itemID="{7C524744-61AC-43AB-90AB-47A7ECFBFE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9008BC-3A95-4CA5-88BB-298CA329FE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ce66b6-c909-48d8-8eba-50d5218fe3c3"/>
    <ds:schemaRef ds:uri="9e19fedf-3314-46e8-a5ae-d1c1377fd3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7A5C25-CA49-475A-A4FC-2DC5F41B5D5F}">
  <ds:schemaRefs>
    <ds:schemaRef ds:uri="18ce66b6-c909-48d8-8eba-50d5218fe3c3"/>
    <ds:schemaRef ds:uri="http://purl.org/dc/elements/1.1/"/>
    <ds:schemaRef ds:uri="9e19fedf-3314-46e8-a5ae-d1c1377fd356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15</vt:i4>
      </vt:variant>
    </vt:vector>
  </HeadingPairs>
  <TitlesOfParts>
    <vt:vector size="15" baseType="lpstr">
      <vt:lpstr>Folha de Rosto</vt:lpstr>
      <vt:lpstr>Enunciado</vt:lpstr>
      <vt:lpstr>Moradas</vt:lpstr>
      <vt:lpstr>Distâncias AE e Nacional</vt:lpstr>
      <vt:lpstr>Distâncias Totais</vt:lpstr>
      <vt:lpstr>Portagens</vt:lpstr>
      <vt:lpstr>Duração</vt:lpstr>
      <vt:lpstr>Vizinho + próximo</vt:lpstr>
      <vt:lpstr>Rotas a)</vt:lpstr>
      <vt:lpstr>Rotas b)</vt:lpstr>
      <vt:lpstr>Rotas b) melhoradas</vt:lpstr>
      <vt:lpstr>Custos a) e b)</vt:lpstr>
      <vt:lpstr>Moradas alinea c</vt:lpstr>
      <vt:lpstr>Distâncias alinea c</vt:lpstr>
      <vt:lpstr>Rota c)</vt:lpstr>
    </vt:vector>
  </TitlesOfParts>
  <Manager/>
  <Company>HP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Filipa Sousa Neves</dc:creator>
  <cp:keywords/>
  <dc:description/>
  <cp:lastModifiedBy>Tomás Oliveira Meireles</cp:lastModifiedBy>
  <cp:revision/>
  <dcterms:created xsi:type="dcterms:W3CDTF">2024-04-17T16:47:22Z</dcterms:created>
  <dcterms:modified xsi:type="dcterms:W3CDTF">2024-06-08T21:10:24Z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0x010100E2CD30C886AB3A4897509C57FBFB5AAA</vt:lpwstr>
  </property>
  <property fmtid="{D5CDD505-2E9C-101B-9397-08002B2CF9AE}" pid="3" name="MediaServiceImageTags">
    <vt:lpwstr/>
  </property>
</Properties>
</file>